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santiago_vargas5_udea_edu_co/Documents/Estudio/Materias/S10/Diseño-Prod.-Electronicos/ProyectoFinal/Repo/Proyecto-ALMA-DEP/Entregable-4/Material Soporte/"/>
    </mc:Choice>
  </mc:AlternateContent>
  <xr:revisionPtr revIDLastSave="1" documentId="11_8B01131835EE5BE73742386EA3D99352B3B3F385" xr6:coauthVersionLast="47" xr6:coauthVersionMax="47" xr10:uidLastSave="{87F4C3F4-23A8-4C01-AD7C-A97C7DEA70E1}"/>
  <bookViews>
    <workbookView xWindow="-120" yWindow="-120" windowWidth="29040" windowHeight="15720" activeTab="2" xr2:uid="{00000000-000D-0000-FFFF-FFFF00000000}"/>
  </bookViews>
  <sheets>
    <sheet name="BOM Summary" sheetId="1" r:id="rId1"/>
    <sheet name="Scale Economics" sheetId="2" r:id="rId2"/>
    <sheet name="Chart" sheetId="3" r:id="rId3"/>
  </sheets>
  <calcPr calcId="0"/>
</workbook>
</file>

<file path=xl/sharedStrings.xml><?xml version="1.0" encoding="utf-8"?>
<sst xmlns="http://schemas.openxmlformats.org/spreadsheetml/2006/main" count="99" uniqueCount="80">
  <si>
    <t>ALMA — Plug Alimentación (2L FR4) — Bill of Materials (BOM) | Technical Cost Report</t>
  </si>
  <si>
    <t>Component Cost Analysis — 1 Unit | Suppliers: Mouser · DigiKey · Arrow · Farnell · PCBWay</t>
  </si>
  <si>
    <t>PCB Stack: 2 capas FR4 | Finish: ENIG</t>
  </si>
  <si>
    <t>🟢 = precio verificado   ⚠️ = REVISAR MANUALMENTE</t>
  </si>
  <si>
    <t>#</t>
  </si>
  <si>
    <t>Nombre / Descripción</t>
  </si>
  <si>
    <t>Fabricante</t>
  </si>
  <si>
    <t>Qty</t>
  </si>
  <si>
    <t>MPN</t>
  </si>
  <si>
    <t>Designator</t>
  </si>
  <si>
    <t>Descripción Técnica</t>
  </si>
  <si>
    <t>Referencia / Fuente Precio</t>
  </si>
  <si>
    <t>Precio Unit. (USD)</t>
  </si>
  <si>
    <t>Total (USD)</t>
  </si>
  <si>
    <t>Estado</t>
  </si>
  <si>
    <t>✅  COMPONENTES — PRECIO VERIFICADO</t>
  </si>
  <si>
    <t>TMK063C6104KP-F</t>
  </si>
  <si>
    <t>Taiyo Yuden</t>
  </si>
  <si>
    <t>C1,C2</t>
  </si>
  <si>
    <t>25V 100nF X6S ±10% 0201</t>
  </si>
  <si>
    <t>DigiKey 587-6347-1-ND</t>
  </si>
  <si>
    <t>🟢 OK</t>
  </si>
  <si>
    <t>SMBJ15A</t>
  </si>
  <si>
    <t>Bourns</t>
  </si>
  <si>
    <t>D1</t>
  </si>
  <si>
    <t>TVS diode unidirectional 15V DO-214AA</t>
  </si>
  <si>
    <t>Mouser 652-SMBJ15A</t>
  </si>
  <si>
    <t>B2B-EH-A(LF)(SN)</t>
  </si>
  <si>
    <t>JST</t>
  </si>
  <si>
    <t>J1</t>
  </si>
  <si>
    <t>2-pin EH 2.5mm crimp header</t>
  </si>
  <si>
    <t>Mouser 306-B2BEHALFSNP</t>
  </si>
  <si>
    <t>PJ-002A</t>
  </si>
  <si>
    <t>Same Sky</t>
  </si>
  <si>
    <t>J2</t>
  </si>
  <si>
    <t>2.5A DC barrel jack 2.0x6.5mm horizontal TH</t>
  </si>
  <si>
    <t>DigiKey CP-002A-ND</t>
  </si>
  <si>
    <t>⚠️  COMPONENTES — REQUIEREN REVISIÓN MANUAL (precio no encontrado / MPN no estándar)</t>
  </si>
  <si>
    <t>MF-RX11072-0</t>
  </si>
  <si>
    <t>F1</t>
  </si>
  <si>
    <t>Resettable PTC fuse</t>
  </si>
  <si>
    <t>REVISAR MANUALMENTE</t>
  </si>
  <si>
    <t>—</t>
  </si>
  <si>
    <t>⚠️ REVISAR</t>
  </si>
  <si>
    <t>🔵  FABRICACIÓN PCB + ENSAMBLAJE SMT (costo unitario prototipo 1 ud)</t>
  </si>
  <si>
    <t>PCB Fabricación FR4</t>
  </si>
  <si>
    <t>PCBWay</t>
  </si>
  <si>
    <t>2L FR4 ENIG – PCBWay standard prototype estimate</t>
  </si>
  <si>
    <t>pcbway.com (estimado)</t>
  </si>
  <si>
    <t>⚠️ ESTIMADO</t>
  </si>
  <si>
    <t>Ensamblaje SMT</t>
  </si>
  <si>
    <t>PCBWay Assembly</t>
  </si>
  <si>
    <t>Pick &amp; place + reflujo + AOI + stencil (proto 1ud)</t>
  </si>
  <si>
    <t>⬛  TOTAL COMPONENTES — 1 UNIDAD (solo verificados)</t>
  </si>
  <si>
    <t>🔷  TOTAL + FABRICACIÓN + SMT — COSTO TOTAL ESTIMADO PROTOTIPO 1 UNIDAD</t>
  </si>
  <si>
    <t>⚠  NOTA: Los costos anteriores cubren componentes electrónicos verificados online. Los componentes marcados "REVISAR MANUALMENTE" no incluyen precio y deben cotizarse directamente con el distribuidor o fabricante. El costo de PCB (2L FR4) y ensamblaje SMT son ESTIMADOS basados en PCBWay para 1 prototipo ~100x100mm. El costo final de producción en volumen puede ser hasta 60–80% menor gracias a la economía de escala. Ver pestaña "Scale Economics" para proyección de costos por volumen.</t>
  </si>
  <si>
    <t>ALMA — Plug Alimentación (2L FR4) — Economía de Escala | Proyección de Costos por Volumen</t>
  </si>
  <si>
    <t>Modelo: Ley de Wright (Learning Curves) + Descuentos por Volumen Distribuidor | Componentes + Fabricación PCB 2L FR4 + Ensamblaje SMT</t>
  </si>
  <si>
    <t>Volumen (uds)</t>
  </si>
  <si>
    <t>Descuento Comp.</t>
  </si>
  <si>
    <t>Costo Comp./ud (USD)</t>
  </si>
  <si>
    <t>PCB Fab/ud (USD)</t>
  </si>
  <si>
    <t>SMT Assembly/ud (USD)</t>
  </si>
  <si>
    <t>TOTAL/ud (USD)</t>
  </si>
  <si>
    <t>TOTAL Lote (USD)</t>
  </si>
  <si>
    <t>Ahorro vs 1 ud</t>
  </si>
  <si>
    <t>📊  ANÁLISIS TÉCNICO — Por qué el precio disminuye con el volumen</t>
  </si>
  <si>
    <t>🔩 Componentes (Learning Rate ~15–38%)</t>
  </si>
  <si>
    <t>A volumen mayor, los distribuidores aplican price-breaks escalonados (tiered pricing). A partir de 100 uds se accede a precios "volume break"; a 1.000+ se negocian precios OEM/directo. La Ley de Wright (b = ln(1-LR)/ln(2)) modela matemáticamente esta reducción.</t>
  </si>
  <si>
    <t>🟦 Fabricación PCB 2L FR4 (Learning Rate ~30%)</t>
  </si>
  <si>
    <t>El sustrato FR4 multi-capa tiene costes de configuración fijos (tooling, Gerber setup). A mayor volumen se amortizan entre más unidades. PCBWay ofrece descuentos agresivos desde 100 paneles.</t>
  </si>
  <si>
    <t>⚙️  Ensamblaje SMT (Learning Rate ~35% — la más agresiva)</t>
  </si>
  <si>
    <t>El ensamblaje SMT (stencil, pick &amp; place, reflujo, AOI, test) tiene costes fijos elevados de setup (stencil ~$80–150, programación máquina). A 5.000 uds, el SMT puede ser &lt;$5/ud vs $35 en prototipo.</t>
  </si>
  <si>
    <t>📉 Mayores Ahorros</t>
  </si>
  <si>
    <t>La mayor caída de coste por unidad ocurre entre 1 → 100 uds. Entre 100 → 1.000 uds el ahorro es significativo. De 1.000 → 5.000 la curva se aplana. Los ítems con mayor impacto de escala: SMT Assembly &gt; PCB Fab &gt; Componentes pasivos.</t>
  </si>
  <si>
    <t>ALMA — Plug Alimentación (2L FR4) — Curva de Coste vs Volumen de Producción</t>
  </si>
  <si>
    <t>Componentes (USD/ud)</t>
  </si>
  <si>
    <t>PCB Fab FR4 (USD/ud)</t>
  </si>
  <si>
    <t>SMT Assembly (USD/ud)</t>
  </si>
  <si>
    <t>TOTAL (USD/ud)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</si>
</sst>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\$#,##0.00"/>
  </numFmts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9"/>
      <color rgb="FF1F3864"/>
      <name val="Arial"/>
    </font>
    <font>
      <sz val="9"/>
      <color rgb="FF595959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375623"/>
      <name val="Arial"/>
    </font>
    <font>
      <b/>
      <sz val="9"/>
      <color rgb="FF7F3F00"/>
      <name val="Arial"/>
    </font>
    <font>
      <b/>
      <sz val="9"/>
      <color rgb="FFC00000"/>
      <name val="Arial"/>
    </font>
    <font>
      <b/>
      <sz val="10"/>
      <color rgb="FFFFFFFF"/>
      <name val="Arial"/>
    </font>
    <font>
      <b/>
      <sz val="11"/>
      <color rgb="FFFFFF00"/>
      <name val="Arial"/>
    </font>
    <font>
      <b/>
      <sz val="10"/>
      <color rgb="FF1F3864"/>
      <name val="Arial"/>
    </font>
    <font>
      <b/>
      <sz val="12"/>
      <color rgb="FFC00000"/>
      <name val="Arial"/>
    </font>
    <font>
      <i/>
      <sz val="8"/>
      <color rgb="FF595959"/>
      <name val="Arial"/>
    </font>
    <font>
      <b/>
      <sz val="12"/>
      <color rgb="FFFFFFFF"/>
      <name val="Arial"/>
    </font>
    <font>
      <i/>
      <sz val="9"/>
      <color rgb="FFFFFFFF"/>
      <name val="Arial"/>
    </font>
    <font>
      <b/>
      <sz val="9"/>
      <color rgb="FF2E75B6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8FC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13" fillId="10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9" fontId="6" fillId="7" borderId="1" xfId="0" applyNumberFormat="1" applyFont="1" applyFill="1" applyBorder="1" applyAlignment="1">
      <alignment horizontal="center" vertical="center" wrapText="1"/>
    </xf>
    <xf numFmtId="10" fontId="6" fillId="7" borderId="1" xfId="0" applyNumberFormat="1" applyFont="1" applyFill="1" applyBorder="1" applyAlignment="1">
      <alignment horizontal="center" vertical="center" wrapText="1"/>
    </xf>
    <xf numFmtId="9" fontId="6" fillId="9" borderId="1" xfId="0" applyNumberFormat="1" applyFont="1" applyFill="1" applyBorder="1" applyAlignment="1">
      <alignment horizontal="center" vertical="center" wrapText="1"/>
    </xf>
    <xf numFmtId="10" fontId="6" fillId="9" borderId="1" xfId="0" applyNumberFormat="1" applyFont="1" applyFill="1" applyBorder="1" applyAlignment="1">
      <alignment horizontal="center" vertical="center" wrapText="1"/>
    </xf>
    <xf numFmtId="4" fontId="6" fillId="9" borderId="1" xfId="0" applyNumberFormat="1" applyFont="1" applyFill="1" applyBorder="1" applyAlignment="1">
      <alignment horizontal="center" vertical="center" wrapText="1"/>
    </xf>
    <xf numFmtId="4" fontId="6" fillId="7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0" fillId="0" borderId="0" xfId="0"/>
    <xf numFmtId="0" fontId="5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14" fillId="1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0" fillId="5" borderId="0" xfId="0" applyFill="1"/>
    <xf numFmtId="0" fontId="1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17" fillId="9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Costo Total por Unidad vs Volumen — ALMA — Plug Alimentación (2L FR4)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Componentes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numRef>
              <c:f>Chart!$A$3:$A$7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5000</c:v>
                </c:pt>
              </c:numCache>
            </c:numRef>
          </c:cat>
          <c:val>
            <c:numRef>
              <c:f>Chart!$B$3:$B$7</c:f>
              <c:numCache>
                <c:formatCode>#,##0.00</c:formatCode>
                <c:ptCount val="5"/>
                <c:pt idx="0">
                  <c:v>1.48</c:v>
                </c:pt>
                <c:pt idx="1">
                  <c:v>1.4059999999999999</c:v>
                </c:pt>
                <c:pt idx="2">
                  <c:v>1.258</c:v>
                </c:pt>
                <c:pt idx="3">
                  <c:v>1.0656000000000001</c:v>
                </c:pt>
                <c:pt idx="4">
                  <c:v>0.91759999999999997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C-41FF-8EB4-DEEBC9146DCB}"/>
            </c:ext>
          </c:extLst>
        </c:ser>
        <c:ser>
          <c:idx val="1"/>
          <c:order val="1"/>
          <c:tx>
            <c:v>PCB Fabricación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numRef>
              <c:f>Chart!$A$3:$A$7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5000</c:v>
                </c:pt>
              </c:numCache>
            </c:numRef>
          </c:cat>
          <c:val>
            <c:numRef>
              <c:f>Chart!$C$3:$C$7</c:f>
              <c:numCache>
                <c:formatCode>#,##0.00</c:formatCode>
                <c:ptCount val="5"/>
                <c:pt idx="0">
                  <c:v>5</c:v>
                </c:pt>
                <c:pt idx="1">
                  <c:v>1.5289619999999999</c:v>
                </c:pt>
                <c:pt idx="2">
                  <c:v>0.46754499999999999</c:v>
                </c:pt>
                <c:pt idx="3">
                  <c:v>0.14297199999999999</c:v>
                </c:pt>
                <c:pt idx="4">
                  <c:v>6.2456999999999999E-2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FC-41FF-8EB4-DEEBC9146DCB}"/>
            </c:ext>
          </c:extLst>
        </c:ser>
        <c:ser>
          <c:idx val="2"/>
          <c:order val="2"/>
          <c:tx>
            <c:v>SMT Assembly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numRef>
              <c:f>Chart!$A$3:$A$7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5000</c:v>
                </c:pt>
              </c:numCache>
            </c:numRef>
          </c:cat>
          <c:val>
            <c:numRef>
              <c:f>Chart!$D$3:$D$7</c:f>
              <c:numCache>
                <c:formatCode>#,##0.00</c:formatCode>
                <c:ptCount val="5"/>
                <c:pt idx="0">
                  <c:v>10</c:v>
                </c:pt>
                <c:pt idx="1">
                  <c:v>2.3906260000000001</c:v>
                </c:pt>
                <c:pt idx="2">
                  <c:v>0.57150900000000004</c:v>
                </c:pt>
                <c:pt idx="3">
                  <c:v>0.136626</c:v>
                </c:pt>
                <c:pt idx="4">
                  <c:v>5.0250000000000003E-2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FC-41FF-8EB4-DEEBC9146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de producción (uds)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USD / unidad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5" topLeftCell="A6" activePane="bottomLeft" state="frozen"/>
      <selection pane="bottomLeft" sqref="A1:K1"/>
    </sheetView>
  </sheetViews>
  <sheetFormatPr baseColWidth="10" defaultColWidth="9.140625" defaultRowHeight="15" x14ac:dyDescent="0.25"/>
  <cols>
    <col min="1" max="1" width="5" customWidth="1"/>
    <col min="2" max="2" width="26" customWidth="1"/>
    <col min="3" max="3" width="18" customWidth="1"/>
    <col min="4" max="4" width="8" customWidth="1"/>
    <col min="5" max="5" width="20" customWidth="1"/>
    <col min="6" max="6" width="15" customWidth="1"/>
    <col min="7" max="7" width="36" customWidth="1"/>
    <col min="8" max="8" width="40" customWidth="1"/>
    <col min="9" max="10" width="14" customWidth="1"/>
    <col min="11" max="11" width="32" customWidth="1"/>
  </cols>
  <sheetData>
    <row r="1" spans="1:11" ht="18" customHeight="1" x14ac:dyDescent="0.25">
      <c r="A1" s="3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4" customHeight="1" x14ac:dyDescent="0.25">
      <c r="A2" s="33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4.1" customHeight="1" x14ac:dyDescent="0.25">
      <c r="A3" s="31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14.1" customHeight="1" x14ac:dyDescent="0.25">
      <c r="A4" s="30" t="s">
        <v>3</v>
      </c>
      <c r="B4" s="28"/>
      <c r="C4" s="28"/>
      <c r="D4" s="28"/>
      <c r="E4" s="28"/>
      <c r="F4" s="36"/>
      <c r="G4" s="28"/>
      <c r="H4" s="28"/>
      <c r="I4" s="28"/>
      <c r="J4" s="28"/>
      <c r="K4" s="28"/>
    </row>
    <row r="5" spans="1:11" ht="30" customHeigh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1" x14ac:dyDescent="0.25">
      <c r="A6" s="29" t="s">
        <v>15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x14ac:dyDescent="0.25">
      <c r="A7" s="2">
        <v>1</v>
      </c>
      <c r="B7" s="3" t="s">
        <v>16</v>
      </c>
      <c r="C7" s="3" t="s">
        <v>17</v>
      </c>
      <c r="D7" s="2">
        <v>2</v>
      </c>
      <c r="E7" s="3" t="s">
        <v>16</v>
      </c>
      <c r="F7" s="3" t="s">
        <v>18</v>
      </c>
      <c r="G7" s="3" t="s">
        <v>19</v>
      </c>
      <c r="H7" s="3" t="s">
        <v>20</v>
      </c>
      <c r="I7" s="4">
        <v>0.13</v>
      </c>
      <c r="J7" s="4">
        <v>0.26</v>
      </c>
      <c r="K7" s="5" t="s">
        <v>21</v>
      </c>
    </row>
    <row r="8" spans="1:11" x14ac:dyDescent="0.25">
      <c r="A8" s="6">
        <v>2</v>
      </c>
      <c r="B8" s="7" t="s">
        <v>22</v>
      </c>
      <c r="C8" s="7" t="s">
        <v>23</v>
      </c>
      <c r="D8" s="6">
        <v>1</v>
      </c>
      <c r="E8" s="7" t="s">
        <v>22</v>
      </c>
      <c r="F8" s="7" t="s">
        <v>24</v>
      </c>
      <c r="G8" s="7" t="s">
        <v>25</v>
      </c>
      <c r="H8" s="7" t="s">
        <v>26</v>
      </c>
      <c r="I8" s="8">
        <v>0.54</v>
      </c>
      <c r="J8" s="8">
        <v>0.54</v>
      </c>
      <c r="K8" s="5" t="s">
        <v>21</v>
      </c>
    </row>
    <row r="9" spans="1:11" x14ac:dyDescent="0.25">
      <c r="A9" s="2">
        <v>3</v>
      </c>
      <c r="B9" s="3" t="s">
        <v>27</v>
      </c>
      <c r="C9" s="3" t="s">
        <v>28</v>
      </c>
      <c r="D9" s="2">
        <v>1</v>
      </c>
      <c r="E9" s="3" t="s">
        <v>27</v>
      </c>
      <c r="F9" s="3" t="s">
        <v>29</v>
      </c>
      <c r="G9" s="3" t="s">
        <v>30</v>
      </c>
      <c r="H9" s="3" t="s">
        <v>31</v>
      </c>
      <c r="I9" s="4">
        <v>0.1</v>
      </c>
      <c r="J9" s="4">
        <v>0.1</v>
      </c>
      <c r="K9" s="5" t="s">
        <v>21</v>
      </c>
    </row>
    <row r="10" spans="1:11" ht="24" x14ac:dyDescent="0.25">
      <c r="A10" s="6">
        <v>4</v>
      </c>
      <c r="B10" s="7" t="s">
        <v>32</v>
      </c>
      <c r="C10" s="7" t="s">
        <v>33</v>
      </c>
      <c r="D10" s="6">
        <v>1</v>
      </c>
      <c r="E10" s="7" t="s">
        <v>32</v>
      </c>
      <c r="F10" s="7" t="s">
        <v>34</v>
      </c>
      <c r="G10" s="7" t="s">
        <v>35</v>
      </c>
      <c r="H10" s="7" t="s">
        <v>36</v>
      </c>
      <c r="I10" s="8">
        <v>0.57999999999999996</v>
      </c>
      <c r="J10" s="8">
        <v>0.57999999999999996</v>
      </c>
      <c r="K10" s="5" t="s">
        <v>21</v>
      </c>
    </row>
    <row r="11" spans="1:11" x14ac:dyDescent="0.25">
      <c r="A11" s="34" t="s">
        <v>37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1" ht="24" x14ac:dyDescent="0.25">
      <c r="A12" s="9">
        <v>1</v>
      </c>
      <c r="B12" s="10" t="s">
        <v>38</v>
      </c>
      <c r="C12" s="10" t="s">
        <v>23</v>
      </c>
      <c r="D12" s="9">
        <v>1</v>
      </c>
      <c r="E12" s="10" t="s">
        <v>38</v>
      </c>
      <c r="F12" s="10" t="s">
        <v>39</v>
      </c>
      <c r="G12" s="10" t="s">
        <v>40</v>
      </c>
      <c r="H12" s="10" t="s">
        <v>41</v>
      </c>
      <c r="I12" s="11" t="s">
        <v>41</v>
      </c>
      <c r="J12" s="9" t="s">
        <v>42</v>
      </c>
      <c r="K12" s="12" t="s">
        <v>43</v>
      </c>
    </row>
    <row r="13" spans="1:11" x14ac:dyDescent="0.25">
      <c r="A13" s="35" t="s">
        <v>44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1:11" ht="24" x14ac:dyDescent="0.25">
      <c r="A14" s="13" t="s">
        <v>42</v>
      </c>
      <c r="B14" s="14" t="s">
        <v>45</v>
      </c>
      <c r="C14" s="14" t="s">
        <v>46</v>
      </c>
      <c r="D14" s="13">
        <v>1</v>
      </c>
      <c r="E14" s="14" t="s">
        <v>42</v>
      </c>
      <c r="F14" s="14" t="s">
        <v>42</v>
      </c>
      <c r="G14" s="14" t="s">
        <v>47</v>
      </c>
      <c r="H14" s="14" t="s">
        <v>48</v>
      </c>
      <c r="I14" s="15">
        <v>5</v>
      </c>
      <c r="J14" s="15">
        <v>5</v>
      </c>
      <c r="K14" s="16" t="s">
        <v>49</v>
      </c>
    </row>
    <row r="15" spans="1:11" ht="24" x14ac:dyDescent="0.25">
      <c r="A15" s="13" t="s">
        <v>42</v>
      </c>
      <c r="B15" s="14" t="s">
        <v>50</v>
      </c>
      <c r="C15" s="14" t="s">
        <v>51</v>
      </c>
      <c r="D15" s="13">
        <v>1</v>
      </c>
      <c r="E15" s="14" t="s">
        <v>42</v>
      </c>
      <c r="F15" s="14" t="s">
        <v>42</v>
      </c>
      <c r="G15" s="14" t="s">
        <v>52</v>
      </c>
      <c r="H15" s="14" t="s">
        <v>48</v>
      </c>
      <c r="I15" s="15">
        <v>10</v>
      </c>
      <c r="J15" s="15">
        <v>10</v>
      </c>
      <c r="K15" s="16" t="s">
        <v>49</v>
      </c>
    </row>
    <row r="17" spans="1:11" x14ac:dyDescent="0.25">
      <c r="A17" s="38" t="s">
        <v>53</v>
      </c>
      <c r="B17" s="28"/>
      <c r="C17" s="28"/>
      <c r="D17" s="28"/>
      <c r="E17" s="28"/>
      <c r="F17" s="28"/>
      <c r="G17" s="28"/>
      <c r="H17" s="28"/>
      <c r="I17" s="17">
        <v>1.48</v>
      </c>
      <c r="J17" s="17">
        <v>1.48</v>
      </c>
      <c r="K17" s="18"/>
    </row>
    <row r="18" spans="1:11" ht="15.75" x14ac:dyDescent="0.25">
      <c r="A18" s="27" t="s">
        <v>54</v>
      </c>
      <c r="B18" s="28"/>
      <c r="C18" s="28"/>
      <c r="D18" s="28"/>
      <c r="E18" s="28"/>
      <c r="F18" s="28"/>
      <c r="G18" s="28"/>
      <c r="H18" s="28"/>
      <c r="I18" s="19">
        <v>16.48</v>
      </c>
      <c r="J18" s="19">
        <v>16.48</v>
      </c>
      <c r="K18" s="20"/>
    </row>
    <row r="20" spans="1:11" ht="60" customHeight="1" x14ac:dyDescent="0.25">
      <c r="A20" s="32" t="s">
        <v>55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1:1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</row>
  </sheetData>
  <mergeCells count="11">
    <mergeCell ref="A2:K2"/>
    <mergeCell ref="A11:K11"/>
    <mergeCell ref="A13:K13"/>
    <mergeCell ref="F4:K4"/>
    <mergeCell ref="A1:K1"/>
    <mergeCell ref="A18:H18"/>
    <mergeCell ref="A6:K6"/>
    <mergeCell ref="A4:E4"/>
    <mergeCell ref="A3:K3"/>
    <mergeCell ref="A20:K23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sqref="A1:H1"/>
    </sheetView>
  </sheetViews>
  <sheetFormatPr baseColWidth="10" defaultColWidth="9.140625" defaultRowHeight="15" x14ac:dyDescent="0.25"/>
  <cols>
    <col min="1" max="1" width="15" customWidth="1"/>
    <col min="2" max="2" width="24" customWidth="1"/>
    <col min="3" max="5" width="22" customWidth="1"/>
    <col min="6" max="6" width="20" customWidth="1"/>
    <col min="7" max="7" width="22" customWidth="1"/>
    <col min="8" max="8" width="20" customWidth="1"/>
  </cols>
  <sheetData>
    <row r="1" spans="1:8" x14ac:dyDescent="0.25">
      <c r="A1" s="43" t="s">
        <v>56</v>
      </c>
      <c r="B1" s="28"/>
      <c r="C1" s="28"/>
      <c r="D1" s="28"/>
      <c r="E1" s="28"/>
      <c r="F1" s="28"/>
      <c r="G1" s="28"/>
      <c r="H1" s="28"/>
    </row>
    <row r="2" spans="1:8" x14ac:dyDescent="0.25">
      <c r="A2" s="41" t="s">
        <v>57</v>
      </c>
      <c r="B2" s="28"/>
      <c r="C2" s="28"/>
      <c r="D2" s="28"/>
      <c r="E2" s="28"/>
      <c r="F2" s="28"/>
      <c r="G2" s="28"/>
      <c r="H2" s="28"/>
    </row>
    <row r="3" spans="1:8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</row>
    <row r="4" spans="1:8" x14ac:dyDescent="0.25">
      <c r="A4" s="2">
        <v>1</v>
      </c>
      <c r="B4" s="21">
        <v>0</v>
      </c>
      <c r="C4" s="4">
        <v>1.48</v>
      </c>
      <c r="D4" s="4">
        <v>5</v>
      </c>
      <c r="E4" s="4">
        <v>10</v>
      </c>
      <c r="F4" s="4">
        <v>16.48</v>
      </c>
      <c r="G4" s="4">
        <v>16.48</v>
      </c>
      <c r="H4" s="22">
        <v>0</v>
      </c>
    </row>
    <row r="5" spans="1:8" x14ac:dyDescent="0.25">
      <c r="A5" s="6">
        <v>10</v>
      </c>
      <c r="B5" s="23">
        <v>0.05</v>
      </c>
      <c r="C5" s="8">
        <v>1.4059999999999999</v>
      </c>
      <c r="D5" s="8">
        <v>1.5289619999999999</v>
      </c>
      <c r="E5" s="8">
        <v>2.3906260000000001</v>
      </c>
      <c r="F5" s="8">
        <v>5.3255879999999998</v>
      </c>
      <c r="G5" s="8">
        <v>53.255879999999998</v>
      </c>
      <c r="H5" s="24">
        <v>0.67684538834951458</v>
      </c>
    </row>
    <row r="6" spans="1:8" x14ac:dyDescent="0.25">
      <c r="A6" s="2">
        <v>100</v>
      </c>
      <c r="B6" s="21">
        <v>0.15</v>
      </c>
      <c r="C6" s="4">
        <v>1.258</v>
      </c>
      <c r="D6" s="4">
        <v>0.46754499999999999</v>
      </c>
      <c r="E6" s="4">
        <v>0.57150900000000004</v>
      </c>
      <c r="F6" s="4">
        <v>2.2970540000000002</v>
      </c>
      <c r="G6" s="4">
        <v>229.7054</v>
      </c>
      <c r="H6" s="22">
        <v>0.86061565533980589</v>
      </c>
    </row>
    <row r="7" spans="1:8" x14ac:dyDescent="0.25">
      <c r="A7" s="6">
        <v>1000</v>
      </c>
      <c r="B7" s="23">
        <v>0.28000000000000003</v>
      </c>
      <c r="C7" s="8">
        <v>1.0656000000000001</v>
      </c>
      <c r="D7" s="8">
        <v>0.14297199999999999</v>
      </c>
      <c r="E7" s="8">
        <v>0.136626</v>
      </c>
      <c r="F7" s="8">
        <v>1.3451979999999999</v>
      </c>
      <c r="G7" s="8">
        <v>1345.1980000000001</v>
      </c>
      <c r="H7" s="24">
        <v>0.91837390776699024</v>
      </c>
    </row>
    <row r="8" spans="1:8" x14ac:dyDescent="0.25">
      <c r="A8" s="2">
        <v>5000</v>
      </c>
      <c r="B8" s="21">
        <v>0.38</v>
      </c>
      <c r="C8" s="4">
        <v>0.91759999999999997</v>
      </c>
      <c r="D8" s="4">
        <v>6.2456999999999999E-2</v>
      </c>
      <c r="E8" s="4">
        <v>5.0250000000000003E-2</v>
      </c>
      <c r="F8" s="4">
        <v>1.0303070000000001</v>
      </c>
      <c r="G8" s="4">
        <v>5151.5349999999989</v>
      </c>
      <c r="H8" s="22">
        <v>0.93748137135922327</v>
      </c>
    </row>
    <row r="10" spans="1:8" x14ac:dyDescent="0.25">
      <c r="A10" s="42" t="s">
        <v>66</v>
      </c>
      <c r="B10" s="28"/>
      <c r="C10" s="28"/>
      <c r="D10" s="28"/>
      <c r="E10" s="28"/>
      <c r="F10" s="28"/>
      <c r="G10" s="28"/>
      <c r="H10" s="28"/>
    </row>
    <row r="11" spans="1:8" x14ac:dyDescent="0.25">
      <c r="A11" s="40" t="s">
        <v>67</v>
      </c>
      <c r="B11" s="28"/>
      <c r="C11" s="28"/>
      <c r="D11" s="28"/>
      <c r="E11" s="28"/>
      <c r="F11" s="28"/>
      <c r="G11" s="28"/>
      <c r="H11" s="28"/>
    </row>
    <row r="12" spans="1:8" ht="42" customHeight="1" x14ac:dyDescent="0.25">
      <c r="A12" s="39" t="s">
        <v>68</v>
      </c>
      <c r="B12" s="28"/>
      <c r="C12" s="28"/>
      <c r="D12" s="28"/>
      <c r="E12" s="28"/>
      <c r="F12" s="28"/>
      <c r="G12" s="28"/>
      <c r="H12" s="28"/>
    </row>
    <row r="13" spans="1:8" x14ac:dyDescent="0.25">
      <c r="A13" s="40" t="s">
        <v>69</v>
      </c>
      <c r="B13" s="28"/>
      <c r="C13" s="28"/>
      <c r="D13" s="28"/>
      <c r="E13" s="28"/>
      <c r="F13" s="28"/>
      <c r="G13" s="28"/>
      <c r="H13" s="28"/>
    </row>
    <row r="14" spans="1:8" ht="42" customHeight="1" x14ac:dyDescent="0.25">
      <c r="A14" s="39" t="s">
        <v>70</v>
      </c>
      <c r="B14" s="28"/>
      <c r="C14" s="28"/>
      <c r="D14" s="28"/>
      <c r="E14" s="28"/>
      <c r="F14" s="28"/>
      <c r="G14" s="28"/>
      <c r="H14" s="28"/>
    </row>
    <row r="15" spans="1:8" x14ac:dyDescent="0.25">
      <c r="A15" s="40" t="s">
        <v>71</v>
      </c>
      <c r="B15" s="28"/>
      <c r="C15" s="28"/>
      <c r="D15" s="28"/>
      <c r="E15" s="28"/>
      <c r="F15" s="28"/>
      <c r="G15" s="28"/>
      <c r="H15" s="28"/>
    </row>
    <row r="16" spans="1:8" ht="42" customHeight="1" x14ac:dyDescent="0.25">
      <c r="A16" s="39" t="s">
        <v>72</v>
      </c>
      <c r="B16" s="28"/>
      <c r="C16" s="28"/>
      <c r="D16" s="28"/>
      <c r="E16" s="28"/>
      <c r="F16" s="28"/>
      <c r="G16" s="28"/>
      <c r="H16" s="28"/>
    </row>
    <row r="17" spans="1:8" x14ac:dyDescent="0.25">
      <c r="A17" s="40" t="s">
        <v>73</v>
      </c>
      <c r="B17" s="28"/>
      <c r="C17" s="28"/>
      <c r="D17" s="28"/>
      <c r="E17" s="28"/>
      <c r="F17" s="28"/>
      <c r="G17" s="28"/>
      <c r="H17" s="28"/>
    </row>
    <row r="18" spans="1:8" ht="42" customHeight="1" x14ac:dyDescent="0.25">
      <c r="A18" s="39" t="s">
        <v>74</v>
      </c>
      <c r="B18" s="28"/>
      <c r="C18" s="28"/>
      <c r="D18" s="28"/>
      <c r="E18" s="28"/>
      <c r="F18" s="28"/>
      <c r="G18" s="28"/>
      <c r="H18" s="28"/>
    </row>
  </sheetData>
  <mergeCells count="11">
    <mergeCell ref="A1:H1"/>
    <mergeCell ref="A17:H17"/>
    <mergeCell ref="A12:H12"/>
    <mergeCell ref="A18:H18"/>
    <mergeCell ref="A15:H15"/>
    <mergeCell ref="A2:H2"/>
    <mergeCell ref="A16:H16"/>
    <mergeCell ref="A10:H10"/>
    <mergeCell ref="A13:H13"/>
    <mergeCell ref="A11:H11"/>
    <mergeCell ref="A14:H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topLeftCell="A4" workbookViewId="0">
      <selection sqref="A1:E1"/>
    </sheetView>
  </sheetViews>
  <sheetFormatPr baseColWidth="10" defaultColWidth="9.140625" defaultRowHeight="15" x14ac:dyDescent="0.25"/>
  <cols>
    <col min="1" max="1" width="15" customWidth="1"/>
    <col min="2" max="5" width="22" customWidth="1"/>
  </cols>
  <sheetData>
    <row r="1" spans="1:5" ht="20.100000000000001" customHeight="1" x14ac:dyDescent="0.25">
      <c r="A1" s="43" t="s">
        <v>75</v>
      </c>
      <c r="B1" s="28"/>
      <c r="C1" s="28"/>
      <c r="D1" s="28"/>
      <c r="E1" s="28"/>
    </row>
    <row r="2" spans="1:5" x14ac:dyDescent="0.25">
      <c r="A2" s="1" t="s">
        <v>58</v>
      </c>
      <c r="B2" s="1" t="s">
        <v>76</v>
      </c>
      <c r="C2" s="1" t="s">
        <v>77</v>
      </c>
      <c r="D2" s="1" t="s">
        <v>78</v>
      </c>
      <c r="E2" s="1" t="s">
        <v>79</v>
      </c>
    </row>
    <row r="3" spans="1:5" x14ac:dyDescent="0.25">
      <c r="A3" s="6">
        <v>1</v>
      </c>
      <c r="B3" s="25">
        <v>1.48</v>
      </c>
      <c r="C3" s="25">
        <v>5</v>
      </c>
      <c r="D3" s="25">
        <v>10</v>
      </c>
      <c r="E3" s="25">
        <v>16.48</v>
      </c>
    </row>
    <row r="4" spans="1:5" x14ac:dyDescent="0.25">
      <c r="A4" s="2">
        <v>10</v>
      </c>
      <c r="B4" s="26">
        <v>1.4059999999999999</v>
      </c>
      <c r="C4" s="26">
        <v>1.5289619999999999</v>
      </c>
      <c r="D4" s="26">
        <v>2.3906260000000001</v>
      </c>
      <c r="E4" s="26">
        <v>5.3255879999999998</v>
      </c>
    </row>
    <row r="5" spans="1:5" x14ac:dyDescent="0.25">
      <c r="A5" s="6">
        <v>100</v>
      </c>
      <c r="B5" s="25">
        <v>1.258</v>
      </c>
      <c r="C5" s="25">
        <v>0.46754499999999999</v>
      </c>
      <c r="D5" s="25">
        <v>0.57150900000000004</v>
      </c>
      <c r="E5" s="25">
        <v>2.2970540000000002</v>
      </c>
    </row>
    <row r="6" spans="1:5" x14ac:dyDescent="0.25">
      <c r="A6" s="2">
        <v>1000</v>
      </c>
      <c r="B6" s="26">
        <v>1.0656000000000001</v>
      </c>
      <c r="C6" s="26">
        <v>0.14297199999999999</v>
      </c>
      <c r="D6" s="26">
        <v>0.136626</v>
      </c>
      <c r="E6" s="26">
        <v>1.3451979999999999</v>
      </c>
    </row>
    <row r="7" spans="1:5" x14ac:dyDescent="0.25">
      <c r="A7" s="6">
        <v>5000</v>
      </c>
      <c r="B7" s="25">
        <v>0.91759999999999997</v>
      </c>
      <c r="C7" s="25">
        <v>6.2456999999999999E-2</v>
      </c>
      <c r="D7" s="25">
        <v>5.0250000000000003E-2</v>
      </c>
      <c r="E7" s="25">
        <v>1.0303070000000001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BOM Summary</vt:lpstr>
      <vt:lpstr>Scale Economics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JOSE VARGAS HIGUERA</cp:lastModifiedBy>
  <dcterms:created xsi:type="dcterms:W3CDTF">2026-06-10T16:57:47Z</dcterms:created>
  <dcterms:modified xsi:type="dcterms:W3CDTF">2026-06-10T17:18:03Z</dcterms:modified>
</cp:coreProperties>
</file>