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udeaeduco-my.sharepoint.com/personal/santiago_vargas5_udea_edu_co/Documents/Estudio/Materias/S10/Diseño-Prod.-Electronicos/ProyectoFinal/Repo/Proyecto-ALMA-DEP/Entregable-4/Material Soporte/"/>
    </mc:Choice>
  </mc:AlternateContent>
  <xr:revisionPtr revIDLastSave="1" documentId="11_2B805DD06D883D115890BABBDDD18B892AF5B082" xr6:coauthVersionLast="47" xr6:coauthVersionMax="47" xr10:uidLastSave="{AD12407F-7C2D-431D-933A-D7FCECFF2255}"/>
  <bookViews>
    <workbookView xWindow="-120" yWindow="-120" windowWidth="29040" windowHeight="15720" activeTab="2" xr2:uid="{00000000-000D-0000-FFFF-FFFF00000000}"/>
  </bookViews>
  <sheets>
    <sheet name="BOM Summary" sheetId="1" r:id="rId1"/>
    <sheet name="Scale Economics" sheetId="2" r:id="rId2"/>
    <sheet name="Chart" sheetId="3" r:id="rId3"/>
  </sheets>
  <calcPr calcId="0"/>
</workbook>
</file>

<file path=xl/sharedStrings.xml><?xml version="1.0" encoding="utf-8"?>
<sst xmlns="http://schemas.openxmlformats.org/spreadsheetml/2006/main" count="171" uniqueCount="125">
  <si>
    <t>ALMA — Microphone (4L FR4) — Bill of Materials (BOM) | Technical Cost Report</t>
  </si>
  <si>
    <t>Component Cost Analysis — 1 Unit | Suppliers: Mouser · DigiKey · Arrow · Farnell · PCBWay</t>
  </si>
  <si>
    <t>PCB Stack: 4 capas FR4 | Finish: ENIG</t>
  </si>
  <si>
    <t>🟢 = precio verificado   ⚠️ = REVISAR MANUALMENTE</t>
  </si>
  <si>
    <t>#</t>
  </si>
  <si>
    <t>Nombre / Descripción</t>
  </si>
  <si>
    <t>Fabricante</t>
  </si>
  <si>
    <t>Qty</t>
  </si>
  <si>
    <t>MPN</t>
  </si>
  <si>
    <t>Designator</t>
  </si>
  <si>
    <t>Descripción Técnica</t>
  </si>
  <si>
    <t>Referencia / Fuente Precio</t>
  </si>
  <si>
    <t>Precio Unit. (USD)</t>
  </si>
  <si>
    <t>Total (USD)</t>
  </si>
  <si>
    <t>Estado</t>
  </si>
  <si>
    <t>✅  COMPONENTES — PRECIO VERIFICADO</t>
  </si>
  <si>
    <t>TXB0104QRGYRQ1</t>
  </si>
  <si>
    <t>Texas Instruments</t>
  </si>
  <si>
    <t>U3</t>
  </si>
  <si>
    <t>4-bit bidirectional level shifter AEC-Q100 QFN-14</t>
  </si>
  <si>
    <t>Arrow</t>
  </si>
  <si>
    <t>🟢 OK</t>
  </si>
  <si>
    <t>MMICT5838-00-012</t>
  </si>
  <si>
    <t>TDK</t>
  </si>
  <si>
    <t>U1_U1, U1_U2</t>
  </si>
  <si>
    <t>Omnidirectional MEMS mic -26dBFS 1.8V</t>
  </si>
  <si>
    <t>Arrow MMICT5838-00-012</t>
  </si>
  <si>
    <t>GRM155R61C105MA12D</t>
  </si>
  <si>
    <t>Murata</t>
  </si>
  <si>
    <t>C5</t>
  </si>
  <si>
    <t>16V 1uF X5R 0402</t>
  </si>
  <si>
    <t>Mouser 81-GRM155R61C105MA2D</t>
  </si>
  <si>
    <t>GRT155R61A105KE01J</t>
  </si>
  <si>
    <t>C1_U1, C1_U2, C3</t>
  </si>
  <si>
    <t>10V 1uF X5R 0402 AEC-Q200</t>
  </si>
  <si>
    <t>Mouser 81-GRT155R61A105KE1J</t>
  </si>
  <si>
    <t>GRM155R62A104ME14J</t>
  </si>
  <si>
    <t>C2_U1,C2_U2,C4,C8–C13</t>
  </si>
  <si>
    <t>100V 100nF X5R 0402</t>
  </si>
  <si>
    <t>Mouser 81-GRM155R62A104ME4J</t>
  </si>
  <si>
    <t>UMK105BJ104MP-F</t>
  </si>
  <si>
    <t>Taiyo Yuden</t>
  </si>
  <si>
    <t>C6,C7</t>
  </si>
  <si>
    <t>50V 100nF X5R 0402</t>
  </si>
  <si>
    <t>ERJ-2RKF4701X</t>
  </si>
  <si>
    <t>Panasonic</t>
  </si>
  <si>
    <t>R6</t>
  </si>
  <si>
    <t>4.7kΩ 1% 0402 100mW</t>
  </si>
  <si>
    <t>Newark</t>
  </si>
  <si>
    <t>CRCW080510K0FKEA</t>
  </si>
  <si>
    <t>Vishay</t>
  </si>
  <si>
    <t>R1–R4,R7–R12</t>
  </si>
  <si>
    <t>10kΩ 1% 125mW 0805</t>
  </si>
  <si>
    <t>RP73PF1E10KBTDF</t>
  </si>
  <si>
    <t>TE Connectivity</t>
  </si>
  <si>
    <t>R5</t>
  </si>
  <si>
    <t>10kΩ 0.1% 0402 Medical</t>
  </si>
  <si>
    <t>BLM18EG471SZ1D</t>
  </si>
  <si>
    <t>FB1_U1,FB1_U2,FB2</t>
  </si>
  <si>
    <t>470Ω 0.5A ferrite bead 0603</t>
  </si>
  <si>
    <t>Mouser 81-BLM18EG471SZ1D</t>
  </si>
  <si>
    <t>HSMD-C190</t>
  </si>
  <si>
    <t>Broadcom</t>
  </si>
  <si>
    <t>DS1</t>
  </si>
  <si>
    <t>Orange LED 20mA 52mW SMD AEC-Q101</t>
  </si>
  <si>
    <t>DigiKey 516-2489-1-ND</t>
  </si>
  <si>
    <t>XZCMEDGCBD110W</t>
  </si>
  <si>
    <t>SunLED</t>
  </si>
  <si>
    <t>D1–D4</t>
  </si>
  <si>
    <t>RGB triple LED 1.6mm water-clear</t>
  </si>
  <si>
    <t>DigiKey 1497-XZCMEDGCBD110WCT-ND</t>
  </si>
  <si>
    <t>B3FS-1002P</t>
  </si>
  <si>
    <t>Omron</t>
  </si>
  <si>
    <t>B3FS-1002P BY OMZ</t>
  </si>
  <si>
    <t>SW1–SW3</t>
  </si>
  <si>
    <t>Tactile SPST N.O. 24VDC gull-wing SMD</t>
  </si>
  <si>
    <t>DigiKey SW424TR-ND</t>
  </si>
  <si>
    <t>⚠️  COMPONENTES — REQUIEREN REVISIÓN MANUAL (precio no encontrado / MPN no estándar)</t>
  </si>
  <si>
    <t>LP5012RUKR</t>
  </si>
  <si>
    <t>U2</t>
  </si>
  <si>
    <t>12-ch I2C RGB LED driver 20-WQFN</t>
  </si>
  <si>
    <t>REVISAR MANUALMENTE</t>
  </si>
  <si>
    <t>—</t>
  </si>
  <si>
    <t>⚠️ REVISAR</t>
  </si>
  <si>
    <t>FH12-20S-0.5SH_55_</t>
  </si>
  <si>
    <t>Hirose Electric</t>
  </si>
  <si>
    <t>FH12-20S-0.5SH(55)</t>
  </si>
  <si>
    <t>J1</t>
  </si>
  <si>
    <t>20-pin 0.5mm FFC ZIF connector</t>
  </si>
  <si>
    <t>🔵  FABRICACIÓN PCB + ENSAMBLAJE SMT (costo unitario prototipo 1 ud)</t>
  </si>
  <si>
    <t>PCB Fabricación FR4</t>
  </si>
  <si>
    <t>PCBWay</t>
  </si>
  <si>
    <t>4L FR4 ENIG – PCBWay standard prototype estimate</t>
  </si>
  <si>
    <t>pcbway.com (estimado)</t>
  </si>
  <si>
    <t>⚠️ ESTIMADO</t>
  </si>
  <si>
    <t>Ensamblaje SMT</t>
  </si>
  <si>
    <t>PCBWay Assembly</t>
  </si>
  <si>
    <t>Pick &amp; place + reflujo + AOI + stencil (proto 1ud)</t>
  </si>
  <si>
    <t>⬛  TOTAL COMPONENTES — 1 UNIDAD (solo verificados)</t>
  </si>
  <si>
    <t>🔷  TOTAL + FABRICACIÓN + SMT — COSTO TOTAL ESTIMADO PROTOTIPO 1 UNIDAD</t>
  </si>
  <si>
    <t>⚠  NOTA: Los costos anteriores cubren componentes electrónicos verificados online. Los componentes marcados "REVISAR MANUALMENTE" no incluyen precio y deben cotizarse directamente con el distribuidor o fabricante. El costo de PCB (4L FR4) y ensamblaje SMT son ESTIMADOS basados en PCBWay para 1 prototipo ~100x100mm. El costo final de producción en volumen puede ser hasta 60–80% menor gracias a la economía de escala. Ver pestaña "Scale Economics" para proyección de costos por volumen.</t>
  </si>
  <si>
    <t>ALMA — Microphone (4L FR4) — Economía de Escala | Proyección de Costos por Volumen</t>
  </si>
  <si>
    <t>Modelo: Ley de Wright (Learning Curves) + Descuentos por Volumen Distribuidor | Componentes + Fabricación PCB 4L FR4 + Ensamblaje SMT</t>
  </si>
  <si>
    <t>Volumen (uds)</t>
  </si>
  <si>
    <t>Descuento Comp.</t>
  </si>
  <si>
    <t>Costo Comp./ud (USD)</t>
  </si>
  <si>
    <t>PCB Fab/ud (USD)</t>
  </si>
  <si>
    <t>SMT Assembly/ud (USD)</t>
  </si>
  <si>
    <t>TOTAL/ud (USD)</t>
  </si>
  <si>
    <t>TOTAL Lote (USD)</t>
  </si>
  <si>
    <t>Ahorro vs 1 ud</t>
  </si>
  <si>
    <t>📊  ANÁLISIS TÉCNICO — Por qué el precio disminuye con el volumen</t>
  </si>
  <si>
    <t>🔩 Componentes (Learning Rate ~15–38%)</t>
  </si>
  <si>
    <t>A volumen mayor, los distribuidores aplican price-breaks escalonados (tiered pricing). A partir de 100 uds se accede a precios "volume break"; a 1.000+ se negocian precios OEM/directo. La Ley de Wright (b = ln(1-LR)/ln(2)) modela matemáticamente esta reducción.</t>
  </si>
  <si>
    <t>🟦 Fabricación PCB 4L FR4 (Learning Rate ~30%)</t>
  </si>
  <si>
    <t>El sustrato FR4 multi-capa tiene costes de configuración fijos (tooling, Gerber setup). A mayor volumen se amortizan entre más unidades. PCBWay ofrece descuentos agresivos desde 100 paneles.</t>
  </si>
  <si>
    <t>⚙️  Ensamblaje SMT (Learning Rate ~35% — la más agresiva)</t>
  </si>
  <si>
    <t>El ensamblaje SMT (stencil, pick &amp; place, reflujo, AOI, test) tiene costes fijos elevados de setup (stencil ~$80–150, programación máquina). A 5.000 uds, el SMT puede ser &lt;$5/ud vs $35 en prototipo.</t>
  </si>
  <si>
    <t>📉 Mayores Ahorros</t>
  </si>
  <si>
    <t>La mayor caída de coste por unidad ocurre entre 1 → 100 uds. Entre 100 → 1.000 uds el ahorro es significativo. De 1.000 → 5.000 la curva se aplana. Los ítems con mayor impacto de escala: SMT Assembly &gt; PCB Fab &gt; Componentes pasivos.</t>
  </si>
  <si>
    <t>ALMA — Microphone (4L FR4) — Curva de Coste vs Volumen de Producción</t>
  </si>
  <si>
    <t>Componentes (USD/ud)</t>
  </si>
  <si>
    <t>PCB Fab FR4 (USD/ud)</t>
  </si>
  <si>
    <t>SMT Assembly (USD/ud)</t>
  </si>
  <si>
    <t>TOTAL (USD/ud)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</si>
</sst>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\$#,##0.00"/>
  </numFmts>
  <fonts count="18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10"/>
      <color rgb="FFFFFFFF"/>
      <name val="Arial"/>
    </font>
    <font>
      <b/>
      <sz val="9"/>
      <color rgb="FF1F3864"/>
      <name val="Arial"/>
    </font>
    <font>
      <sz val="9"/>
      <color rgb="FF595959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9"/>
      <color rgb="FF375623"/>
      <name val="Arial"/>
    </font>
    <font>
      <b/>
      <sz val="9"/>
      <color rgb="FF7F3F00"/>
      <name val="Arial"/>
    </font>
    <font>
      <b/>
      <sz val="9"/>
      <color rgb="FFC00000"/>
      <name val="Arial"/>
    </font>
    <font>
      <b/>
      <sz val="10"/>
      <color rgb="FFFFFFFF"/>
      <name val="Arial"/>
    </font>
    <font>
      <b/>
      <sz val="11"/>
      <color rgb="FFFFFF00"/>
      <name val="Arial"/>
    </font>
    <font>
      <b/>
      <sz val="10"/>
      <color rgb="FF1F3864"/>
      <name val="Arial"/>
    </font>
    <font>
      <b/>
      <sz val="12"/>
      <color rgb="FFC00000"/>
      <name val="Arial"/>
    </font>
    <font>
      <i/>
      <sz val="8"/>
      <color rgb="FF595959"/>
      <name val="Arial"/>
    </font>
    <font>
      <b/>
      <sz val="12"/>
      <color rgb="FFFFFFFF"/>
      <name val="Arial"/>
    </font>
    <font>
      <i/>
      <sz val="9"/>
      <color rgb="FFFFFFFF"/>
      <name val="Arial"/>
    </font>
    <font>
      <b/>
      <sz val="9"/>
      <color rgb="FF2E75B6"/>
      <name val="Arial"/>
    </font>
  </fonts>
  <fills count="1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D9D9D9"/>
      </patternFill>
    </fill>
    <fill>
      <patternFill patternType="solid">
        <fgColor rgb="FF70AD47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2F8FC"/>
      </patternFill>
    </fill>
    <fill>
      <patternFill patternType="solid">
        <fgColor rgb="FFFFC000"/>
      </patternFill>
    </fill>
    <fill>
      <patternFill patternType="solid">
        <fgColor rgb="FFFFF2CC"/>
      </patternFill>
    </fill>
    <fill>
      <patternFill patternType="solid">
        <fgColor rgb="FFFFF9E8"/>
      </patternFill>
    </fill>
    <fill>
      <patternFill patternType="solid">
        <fgColor rgb="FFDEEAF1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164" fontId="6" fillId="7" borderId="1" xfId="0" applyNumberFormat="1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164" fontId="6" fillId="9" borderId="1" xfId="0" applyNumberFormat="1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4" fontId="6" fillId="4" borderId="1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165" fontId="11" fillId="2" borderId="1" xfId="0" applyNumberFormat="1" applyFont="1" applyFill="1" applyBorder="1" applyAlignment="1">
      <alignment horizontal="center" vertical="center" wrapText="1"/>
    </xf>
    <xf numFmtId="0" fontId="0" fillId="2" borderId="0" xfId="0" applyFill="1"/>
    <xf numFmtId="165" fontId="13" fillId="10" borderId="1" xfId="0" applyNumberFormat="1" applyFont="1" applyFill="1" applyBorder="1" applyAlignment="1">
      <alignment horizontal="center" vertical="center" wrapText="1"/>
    </xf>
    <xf numFmtId="0" fontId="0" fillId="10" borderId="0" xfId="0" applyFill="1"/>
    <xf numFmtId="9" fontId="6" fillId="7" borderId="1" xfId="0" applyNumberFormat="1" applyFont="1" applyFill="1" applyBorder="1" applyAlignment="1">
      <alignment horizontal="center" vertical="center" wrapText="1"/>
    </xf>
    <xf numFmtId="10" fontId="6" fillId="7" borderId="1" xfId="0" applyNumberFormat="1" applyFont="1" applyFill="1" applyBorder="1" applyAlignment="1">
      <alignment horizontal="center" vertical="center" wrapText="1"/>
    </xf>
    <xf numFmtId="9" fontId="6" fillId="9" borderId="1" xfId="0" applyNumberFormat="1" applyFont="1" applyFill="1" applyBorder="1" applyAlignment="1">
      <alignment horizontal="center" vertical="center" wrapText="1"/>
    </xf>
    <xf numFmtId="10" fontId="6" fillId="9" borderId="1" xfId="0" applyNumberFormat="1" applyFont="1" applyFill="1" applyBorder="1" applyAlignment="1">
      <alignment horizontal="center" vertical="center" wrapText="1"/>
    </xf>
    <xf numFmtId="4" fontId="6" fillId="9" borderId="1" xfId="0" applyNumberFormat="1" applyFont="1" applyFill="1" applyBorder="1" applyAlignment="1">
      <alignment horizontal="center" vertical="center" wrapText="1"/>
    </xf>
    <xf numFmtId="4" fontId="6" fillId="7" borderId="1" xfId="0" applyNumberFormat="1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left" vertical="center" wrapText="1"/>
    </xf>
    <xf numFmtId="0" fontId="0" fillId="0" borderId="0" xfId="0"/>
    <xf numFmtId="0" fontId="4" fillId="0" borderId="0" xfId="0" applyFont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8" fillId="10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12" fillId="10" borderId="1" xfId="0" applyFont="1" applyFill="1" applyBorder="1" applyAlignment="1">
      <alignment horizontal="left" vertical="center" wrapText="1"/>
    </xf>
    <xf numFmtId="0" fontId="14" fillId="14" borderId="0" xfId="0" applyFont="1" applyFill="1" applyAlignment="1">
      <alignment horizontal="left" vertical="top" wrapText="1"/>
    </xf>
    <xf numFmtId="0" fontId="0" fillId="5" borderId="0" xfId="0" applyFill="1"/>
    <xf numFmtId="0" fontId="10" fillId="2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vertical="center" wrapText="1"/>
    </xf>
    <xf numFmtId="0" fontId="14" fillId="0" borderId="0" xfId="0" applyFont="1" applyAlignment="1">
      <alignment horizontal="left" vertical="top" wrapText="1"/>
    </xf>
    <xf numFmtId="0" fontId="17" fillId="9" borderId="0" xfId="0" applyFont="1" applyFill="1" applyAlignment="1">
      <alignment horizontal="left" vertical="center" wrapText="1"/>
    </xf>
    <xf numFmtId="0" fontId="16" fillId="3" borderId="0" xfId="0" applyFont="1" applyFill="1" applyAlignment="1">
      <alignment horizontal="center" vertical="center" wrapText="1"/>
    </xf>
    <xf numFmtId="0" fontId="12" fillId="13" borderId="0" xfId="0" applyFont="1" applyFill="1" applyAlignment="1">
      <alignment horizontal="left" vertical="center" wrapText="1"/>
    </xf>
    <xf numFmtId="0" fontId="1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CO"/>
              <a:t>Costo Total por Unidad vs Volumen — ALMA — Microphone (4L FR4)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Componentes</c:v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1"/>
          <c:cat>
            <c:numRef>
              <c:f>Chart!$A$3:$A$7</c:f>
              <c:numCache>
                <c:formatCode>General</c:formatCode>
                <c:ptCount val="5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5000</c:v>
                </c:pt>
              </c:numCache>
            </c:numRef>
          </c:cat>
          <c:val>
            <c:numRef>
              <c:f>Chart!$B$3:$B$7</c:f>
              <c:numCache>
                <c:formatCode>#,##0.00</c:formatCode>
                <c:ptCount val="5"/>
                <c:pt idx="0">
                  <c:v>11.048</c:v>
                </c:pt>
                <c:pt idx="1">
                  <c:v>10.4956</c:v>
                </c:pt>
                <c:pt idx="2">
                  <c:v>9.3908000000000005</c:v>
                </c:pt>
                <c:pt idx="3">
                  <c:v>7.9545599999999999</c:v>
                </c:pt>
                <c:pt idx="4">
                  <c:v>6.8497599999999998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DA-41F6-8D53-6A509B72CCBF}"/>
            </c:ext>
          </c:extLst>
        </c:ser>
        <c:ser>
          <c:idx val="1"/>
          <c:order val="1"/>
          <c:tx>
            <c:v>PCB Fabricación</c:v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1"/>
          <c:cat>
            <c:numRef>
              <c:f>Chart!$A$3:$A$7</c:f>
              <c:numCache>
                <c:formatCode>General</c:formatCode>
                <c:ptCount val="5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5000</c:v>
                </c:pt>
              </c:numCache>
            </c:numRef>
          </c:cat>
          <c:val>
            <c:numRef>
              <c:f>Chart!$C$3:$C$7</c:f>
              <c:numCache>
                <c:formatCode>#,##0.00</c:formatCode>
                <c:ptCount val="5"/>
                <c:pt idx="0">
                  <c:v>15</c:v>
                </c:pt>
                <c:pt idx="1">
                  <c:v>4.5868869999999999</c:v>
                </c:pt>
                <c:pt idx="2">
                  <c:v>1.402636</c:v>
                </c:pt>
                <c:pt idx="3">
                  <c:v>0.42891499999999999</c:v>
                </c:pt>
                <c:pt idx="4">
                  <c:v>0.18737000000000001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DA-41F6-8D53-6A509B72CCBF}"/>
            </c:ext>
          </c:extLst>
        </c:ser>
        <c:ser>
          <c:idx val="2"/>
          <c:order val="2"/>
          <c:tx>
            <c:v>SMT Assembly</c:v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1"/>
          <c:cat>
            <c:numRef>
              <c:f>Chart!$A$3:$A$7</c:f>
              <c:numCache>
                <c:formatCode>General</c:formatCode>
                <c:ptCount val="5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5000</c:v>
                </c:pt>
              </c:numCache>
            </c:numRef>
          </c:cat>
          <c:val>
            <c:numRef>
              <c:f>Chart!$D$3:$D$7</c:f>
              <c:numCache>
                <c:formatCode>#,##0.00</c:formatCode>
                <c:ptCount val="5"/>
                <c:pt idx="0">
                  <c:v>18</c:v>
                </c:pt>
                <c:pt idx="1">
                  <c:v>4.3031269999999999</c:v>
                </c:pt>
                <c:pt idx="2">
                  <c:v>1.0287170000000001</c:v>
                </c:pt>
                <c:pt idx="3">
                  <c:v>0.24592800000000001</c:v>
                </c:pt>
                <c:pt idx="4">
                  <c:v>9.0449000000000002E-2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DA-41F6-8D53-6A509B72C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Volumen de producción (uds)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USD / unidad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1009650</xdr:colOff>
      <xdr:row>7</xdr:row>
      <xdr:rowOff>161925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workbookViewId="0">
      <pane ySplit="5" topLeftCell="A7" activePane="bottomLeft" state="frozen"/>
      <selection pane="bottomLeft" sqref="A1:K1"/>
    </sheetView>
  </sheetViews>
  <sheetFormatPr baseColWidth="10" defaultColWidth="9.140625" defaultRowHeight="15" x14ac:dyDescent="0.25"/>
  <cols>
    <col min="1" max="1" width="5" customWidth="1"/>
    <col min="2" max="2" width="26" customWidth="1"/>
    <col min="3" max="3" width="18" customWidth="1"/>
    <col min="4" max="4" width="8" customWidth="1"/>
    <col min="5" max="5" width="20" customWidth="1"/>
    <col min="6" max="6" width="15" customWidth="1"/>
    <col min="7" max="7" width="36" customWidth="1"/>
    <col min="8" max="8" width="40" customWidth="1"/>
    <col min="9" max="10" width="14" customWidth="1"/>
    <col min="11" max="11" width="32" customWidth="1"/>
  </cols>
  <sheetData>
    <row r="1" spans="1:11" ht="18" customHeight="1" x14ac:dyDescent="0.25">
      <c r="A1" s="4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24" customHeight="1" x14ac:dyDescent="0.25">
      <c r="A2" s="35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spans="1:11" ht="14.1" customHeight="1" x14ac:dyDescent="0.25">
      <c r="A3" s="33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</row>
    <row r="4" spans="1:11" ht="14.1" customHeight="1" x14ac:dyDescent="0.25">
      <c r="A4" s="32" t="s">
        <v>3</v>
      </c>
      <c r="B4" s="31"/>
      <c r="C4" s="31"/>
      <c r="D4" s="31"/>
      <c r="E4" s="31"/>
      <c r="F4" s="38"/>
      <c r="G4" s="31"/>
      <c r="H4" s="31"/>
      <c r="I4" s="31"/>
      <c r="J4" s="31"/>
      <c r="K4" s="31"/>
    </row>
    <row r="5" spans="1:11" ht="30" customHeight="1" x14ac:dyDescent="0.25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</row>
    <row r="6" spans="1:11" x14ac:dyDescent="0.25">
      <c r="A6" s="30" t="s">
        <v>15</v>
      </c>
      <c r="B6" s="31"/>
      <c r="C6" s="31"/>
      <c r="D6" s="31"/>
      <c r="E6" s="31"/>
      <c r="F6" s="31"/>
      <c r="G6" s="31"/>
      <c r="H6" s="31"/>
      <c r="I6" s="31"/>
      <c r="J6" s="31"/>
      <c r="K6" s="31"/>
    </row>
    <row r="7" spans="1:11" ht="24" x14ac:dyDescent="0.25">
      <c r="A7" s="2">
        <v>1</v>
      </c>
      <c r="B7" s="3" t="s">
        <v>16</v>
      </c>
      <c r="C7" s="3" t="s">
        <v>17</v>
      </c>
      <c r="D7" s="2">
        <v>1</v>
      </c>
      <c r="E7" s="3" t="s">
        <v>16</v>
      </c>
      <c r="F7" s="3" t="s">
        <v>18</v>
      </c>
      <c r="G7" s="3" t="s">
        <v>19</v>
      </c>
      <c r="H7" s="3" t="s">
        <v>20</v>
      </c>
      <c r="I7" s="4">
        <v>1.28</v>
      </c>
      <c r="J7" s="4">
        <v>1.28</v>
      </c>
      <c r="K7" s="5" t="s">
        <v>21</v>
      </c>
    </row>
    <row r="8" spans="1:11" x14ac:dyDescent="0.25">
      <c r="A8" s="6">
        <v>2</v>
      </c>
      <c r="B8" s="7" t="s">
        <v>22</v>
      </c>
      <c r="C8" s="7" t="s">
        <v>23</v>
      </c>
      <c r="D8" s="6">
        <v>2</v>
      </c>
      <c r="E8" s="7" t="s">
        <v>22</v>
      </c>
      <c r="F8" s="7" t="s">
        <v>24</v>
      </c>
      <c r="G8" s="7" t="s">
        <v>25</v>
      </c>
      <c r="H8" s="7" t="s">
        <v>26</v>
      </c>
      <c r="I8" s="8">
        <v>1.86</v>
      </c>
      <c r="J8" s="8">
        <v>3.72</v>
      </c>
      <c r="K8" s="5" t="s">
        <v>21</v>
      </c>
    </row>
    <row r="9" spans="1:11" ht="24" x14ac:dyDescent="0.25">
      <c r="A9" s="2">
        <v>3</v>
      </c>
      <c r="B9" s="3" t="s">
        <v>27</v>
      </c>
      <c r="C9" s="3" t="s">
        <v>28</v>
      </c>
      <c r="D9" s="2">
        <v>1</v>
      </c>
      <c r="E9" s="3" t="s">
        <v>27</v>
      </c>
      <c r="F9" s="3" t="s">
        <v>29</v>
      </c>
      <c r="G9" s="3" t="s">
        <v>30</v>
      </c>
      <c r="H9" s="3" t="s">
        <v>31</v>
      </c>
      <c r="I9" s="4">
        <v>0.1</v>
      </c>
      <c r="J9" s="4">
        <v>0.1</v>
      </c>
      <c r="K9" s="5" t="s">
        <v>21</v>
      </c>
    </row>
    <row r="10" spans="1:11" ht="24" x14ac:dyDescent="0.25">
      <c r="A10" s="6">
        <v>4</v>
      </c>
      <c r="B10" s="7" t="s">
        <v>32</v>
      </c>
      <c r="C10" s="7" t="s">
        <v>28</v>
      </c>
      <c r="D10" s="6">
        <v>3</v>
      </c>
      <c r="E10" s="7" t="s">
        <v>32</v>
      </c>
      <c r="F10" s="7" t="s">
        <v>33</v>
      </c>
      <c r="G10" s="7" t="s">
        <v>34</v>
      </c>
      <c r="H10" s="7" t="s">
        <v>35</v>
      </c>
      <c r="I10" s="8">
        <v>2.9000000000000001E-2</v>
      </c>
      <c r="J10" s="8">
        <v>8.6999999999999994E-2</v>
      </c>
      <c r="K10" s="5" t="s">
        <v>21</v>
      </c>
    </row>
    <row r="11" spans="1:11" ht="24" x14ac:dyDescent="0.25">
      <c r="A11" s="2">
        <v>5</v>
      </c>
      <c r="B11" s="3" t="s">
        <v>36</v>
      </c>
      <c r="C11" s="3" t="s">
        <v>28</v>
      </c>
      <c r="D11" s="2">
        <v>9</v>
      </c>
      <c r="E11" s="3" t="s">
        <v>36</v>
      </c>
      <c r="F11" s="3" t="s">
        <v>37</v>
      </c>
      <c r="G11" s="3" t="s">
        <v>38</v>
      </c>
      <c r="H11" s="3" t="s">
        <v>39</v>
      </c>
      <c r="I11" s="4">
        <v>1.7000000000000001E-2</v>
      </c>
      <c r="J11" s="4">
        <v>0.153</v>
      </c>
      <c r="K11" s="5" t="s">
        <v>21</v>
      </c>
    </row>
    <row r="12" spans="1:11" x14ac:dyDescent="0.25">
      <c r="A12" s="6">
        <v>6</v>
      </c>
      <c r="B12" s="7" t="s">
        <v>40</v>
      </c>
      <c r="C12" s="7" t="s">
        <v>41</v>
      </c>
      <c r="D12" s="6">
        <v>2</v>
      </c>
      <c r="E12" s="7" t="s">
        <v>40</v>
      </c>
      <c r="F12" s="7" t="s">
        <v>42</v>
      </c>
      <c r="G12" s="7" t="s">
        <v>43</v>
      </c>
      <c r="H12" s="7" t="s">
        <v>20</v>
      </c>
      <c r="I12" s="8">
        <v>3.2000000000000001E-2</v>
      </c>
      <c r="J12" s="8">
        <v>6.4000000000000001E-2</v>
      </c>
      <c r="K12" s="5" t="s">
        <v>21</v>
      </c>
    </row>
    <row r="13" spans="1:11" x14ac:dyDescent="0.25">
      <c r="A13" s="2">
        <v>7</v>
      </c>
      <c r="B13" s="3" t="s">
        <v>44</v>
      </c>
      <c r="C13" s="3" t="s">
        <v>45</v>
      </c>
      <c r="D13" s="2">
        <v>1</v>
      </c>
      <c r="E13" s="3" t="s">
        <v>44</v>
      </c>
      <c r="F13" s="3" t="s">
        <v>46</v>
      </c>
      <c r="G13" s="3" t="s">
        <v>47</v>
      </c>
      <c r="H13" s="3" t="s">
        <v>48</v>
      </c>
      <c r="I13" s="4">
        <v>9.9000000000000005E-2</v>
      </c>
      <c r="J13" s="4">
        <v>9.9000000000000005E-2</v>
      </c>
      <c r="K13" s="5" t="s">
        <v>21</v>
      </c>
    </row>
    <row r="14" spans="1:11" x14ac:dyDescent="0.25">
      <c r="A14" s="6">
        <v>8</v>
      </c>
      <c r="B14" s="7" t="s">
        <v>49</v>
      </c>
      <c r="C14" s="7" t="s">
        <v>50</v>
      </c>
      <c r="D14" s="6">
        <v>10</v>
      </c>
      <c r="E14" s="7" t="s">
        <v>49</v>
      </c>
      <c r="F14" s="7" t="s">
        <v>51</v>
      </c>
      <c r="G14" s="7" t="s">
        <v>52</v>
      </c>
      <c r="H14" s="7" t="s">
        <v>20</v>
      </c>
      <c r="I14" s="8">
        <v>4.8999999999999998E-3</v>
      </c>
      <c r="J14" s="8">
        <v>4.9000000000000002E-2</v>
      </c>
      <c r="K14" s="5" t="s">
        <v>21</v>
      </c>
    </row>
    <row r="15" spans="1:11" x14ac:dyDescent="0.25">
      <c r="A15" s="2">
        <v>9</v>
      </c>
      <c r="B15" s="3" t="s">
        <v>53</v>
      </c>
      <c r="C15" s="3" t="s">
        <v>54</v>
      </c>
      <c r="D15" s="2">
        <v>1</v>
      </c>
      <c r="E15" s="3" t="s">
        <v>53</v>
      </c>
      <c r="F15" s="3" t="s">
        <v>55</v>
      </c>
      <c r="G15" s="3" t="s">
        <v>56</v>
      </c>
      <c r="H15" s="3" t="s">
        <v>20</v>
      </c>
      <c r="I15" s="4">
        <v>2.1000000000000001E-2</v>
      </c>
      <c r="J15" s="4">
        <v>2.1000000000000001E-2</v>
      </c>
      <c r="K15" s="5" t="s">
        <v>21</v>
      </c>
    </row>
    <row r="16" spans="1:11" ht="24" x14ac:dyDescent="0.25">
      <c r="A16" s="6">
        <v>10</v>
      </c>
      <c r="B16" s="7" t="s">
        <v>57</v>
      </c>
      <c r="C16" s="7" t="s">
        <v>28</v>
      </c>
      <c r="D16" s="6">
        <v>3</v>
      </c>
      <c r="E16" s="7" t="s">
        <v>57</v>
      </c>
      <c r="F16" s="7" t="s">
        <v>58</v>
      </c>
      <c r="G16" s="7" t="s">
        <v>59</v>
      </c>
      <c r="H16" s="7" t="s">
        <v>60</v>
      </c>
      <c r="I16" s="8">
        <v>0.25</v>
      </c>
      <c r="J16" s="8">
        <v>0.75</v>
      </c>
      <c r="K16" s="5" t="s">
        <v>21</v>
      </c>
    </row>
    <row r="17" spans="1:11" x14ac:dyDescent="0.25">
      <c r="A17" s="2">
        <v>11</v>
      </c>
      <c r="B17" s="3" t="s">
        <v>61</v>
      </c>
      <c r="C17" s="3" t="s">
        <v>62</v>
      </c>
      <c r="D17" s="2">
        <v>1</v>
      </c>
      <c r="E17" s="3" t="s">
        <v>61</v>
      </c>
      <c r="F17" s="3" t="s">
        <v>63</v>
      </c>
      <c r="G17" s="3" t="s">
        <v>64</v>
      </c>
      <c r="H17" s="3" t="s">
        <v>65</v>
      </c>
      <c r="I17" s="4">
        <v>0.31</v>
      </c>
      <c r="J17" s="4">
        <v>0.31</v>
      </c>
      <c r="K17" s="5" t="s">
        <v>21</v>
      </c>
    </row>
    <row r="18" spans="1:11" x14ac:dyDescent="0.25">
      <c r="A18" s="6">
        <v>12</v>
      </c>
      <c r="B18" s="7" t="s">
        <v>66</v>
      </c>
      <c r="C18" s="7" t="s">
        <v>67</v>
      </c>
      <c r="D18" s="6">
        <v>4</v>
      </c>
      <c r="E18" s="7" t="s">
        <v>66</v>
      </c>
      <c r="F18" s="7" t="s">
        <v>68</v>
      </c>
      <c r="G18" s="7" t="s">
        <v>69</v>
      </c>
      <c r="H18" s="7" t="s">
        <v>70</v>
      </c>
      <c r="I18" s="8">
        <v>0.8</v>
      </c>
      <c r="J18" s="8">
        <v>3.2</v>
      </c>
      <c r="K18" s="5" t="s">
        <v>21</v>
      </c>
    </row>
    <row r="19" spans="1:11" x14ac:dyDescent="0.25">
      <c r="A19" s="2">
        <v>13</v>
      </c>
      <c r="B19" s="3" t="s">
        <v>71</v>
      </c>
      <c r="C19" s="3" t="s">
        <v>72</v>
      </c>
      <c r="D19" s="2">
        <v>3</v>
      </c>
      <c r="E19" s="3" t="s">
        <v>73</v>
      </c>
      <c r="F19" s="3" t="s">
        <v>74</v>
      </c>
      <c r="G19" s="3" t="s">
        <v>75</v>
      </c>
      <c r="H19" s="3" t="s">
        <v>76</v>
      </c>
      <c r="I19" s="4">
        <v>0.40500000000000003</v>
      </c>
      <c r="J19" s="4">
        <v>1.2150000000000001</v>
      </c>
      <c r="K19" s="5" t="s">
        <v>21</v>
      </c>
    </row>
    <row r="20" spans="1:11" x14ac:dyDescent="0.25">
      <c r="A20" s="34" t="s">
        <v>77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</row>
    <row r="21" spans="1:11" ht="24" x14ac:dyDescent="0.25">
      <c r="A21" s="9">
        <v>1</v>
      </c>
      <c r="B21" s="10" t="s">
        <v>78</v>
      </c>
      <c r="C21" s="10" t="s">
        <v>17</v>
      </c>
      <c r="D21" s="9">
        <v>1</v>
      </c>
      <c r="E21" s="10" t="s">
        <v>78</v>
      </c>
      <c r="F21" s="10" t="s">
        <v>79</v>
      </c>
      <c r="G21" s="10" t="s">
        <v>80</v>
      </c>
      <c r="H21" s="10" t="s">
        <v>81</v>
      </c>
      <c r="I21" s="11" t="s">
        <v>81</v>
      </c>
      <c r="J21" s="9" t="s">
        <v>82</v>
      </c>
      <c r="K21" s="12" t="s">
        <v>83</v>
      </c>
    </row>
    <row r="22" spans="1:11" ht="24" x14ac:dyDescent="0.25">
      <c r="A22" s="13">
        <v>2</v>
      </c>
      <c r="B22" s="14" t="s">
        <v>84</v>
      </c>
      <c r="C22" s="14" t="s">
        <v>85</v>
      </c>
      <c r="D22" s="13">
        <v>1</v>
      </c>
      <c r="E22" s="14" t="s">
        <v>86</v>
      </c>
      <c r="F22" s="14" t="s">
        <v>87</v>
      </c>
      <c r="G22" s="14" t="s">
        <v>88</v>
      </c>
      <c r="H22" s="14" t="s">
        <v>81</v>
      </c>
      <c r="I22" s="15" t="s">
        <v>81</v>
      </c>
      <c r="J22" s="13" t="s">
        <v>82</v>
      </c>
      <c r="K22" s="12" t="s">
        <v>83</v>
      </c>
    </row>
    <row r="23" spans="1:11" x14ac:dyDescent="0.25">
      <c r="A23" s="41" t="s">
        <v>89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</row>
    <row r="24" spans="1:11" ht="24" x14ac:dyDescent="0.25">
      <c r="A24" s="16" t="s">
        <v>82</v>
      </c>
      <c r="B24" s="17" t="s">
        <v>90</v>
      </c>
      <c r="C24" s="17" t="s">
        <v>91</v>
      </c>
      <c r="D24" s="16">
        <v>1</v>
      </c>
      <c r="E24" s="17" t="s">
        <v>82</v>
      </c>
      <c r="F24" s="17" t="s">
        <v>82</v>
      </c>
      <c r="G24" s="17" t="s">
        <v>92</v>
      </c>
      <c r="H24" s="17" t="s">
        <v>93</v>
      </c>
      <c r="I24" s="18">
        <v>15</v>
      </c>
      <c r="J24" s="18">
        <v>15</v>
      </c>
      <c r="K24" s="19" t="s">
        <v>94</v>
      </c>
    </row>
    <row r="25" spans="1:11" ht="24" x14ac:dyDescent="0.25">
      <c r="A25" s="16" t="s">
        <v>82</v>
      </c>
      <c r="B25" s="17" t="s">
        <v>95</v>
      </c>
      <c r="C25" s="17" t="s">
        <v>96</v>
      </c>
      <c r="D25" s="16">
        <v>1</v>
      </c>
      <c r="E25" s="17" t="s">
        <v>82</v>
      </c>
      <c r="F25" s="17" t="s">
        <v>82</v>
      </c>
      <c r="G25" s="17" t="s">
        <v>97</v>
      </c>
      <c r="H25" s="17" t="s">
        <v>93</v>
      </c>
      <c r="I25" s="18">
        <v>18</v>
      </c>
      <c r="J25" s="18">
        <v>18</v>
      </c>
      <c r="K25" s="19" t="s">
        <v>94</v>
      </c>
    </row>
    <row r="27" spans="1:11" x14ac:dyDescent="0.25">
      <c r="A27" s="39" t="s">
        <v>98</v>
      </c>
      <c r="B27" s="31"/>
      <c r="C27" s="31"/>
      <c r="D27" s="31"/>
      <c r="E27" s="31"/>
      <c r="F27" s="31"/>
      <c r="G27" s="31"/>
      <c r="H27" s="31"/>
      <c r="I27" s="20">
        <v>11.048</v>
      </c>
      <c r="J27" s="20">
        <v>11.048</v>
      </c>
      <c r="K27" s="21"/>
    </row>
    <row r="28" spans="1:11" ht="15.75" x14ac:dyDescent="0.25">
      <c r="A28" s="36" t="s">
        <v>99</v>
      </c>
      <c r="B28" s="31"/>
      <c r="C28" s="31"/>
      <c r="D28" s="31"/>
      <c r="E28" s="31"/>
      <c r="F28" s="31"/>
      <c r="G28" s="31"/>
      <c r="H28" s="31"/>
      <c r="I28" s="22">
        <v>44.05</v>
      </c>
      <c r="J28" s="22">
        <v>44.05</v>
      </c>
      <c r="K28" s="23"/>
    </row>
    <row r="30" spans="1:11" ht="60" customHeight="1" x14ac:dyDescent="0.25">
      <c r="A30" s="37" t="s">
        <v>100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</row>
    <row r="31" spans="1:11" x14ac:dyDescent="0.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</row>
    <row r="32" spans="1:11" x14ac:dyDescent="0.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</row>
    <row r="33" spans="1:11" x14ac:dyDescent="0.25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</row>
  </sheetData>
  <mergeCells count="11">
    <mergeCell ref="A28:H28"/>
    <mergeCell ref="A30:K33"/>
    <mergeCell ref="F4:K4"/>
    <mergeCell ref="A27:H27"/>
    <mergeCell ref="A1:K1"/>
    <mergeCell ref="A23:K23"/>
    <mergeCell ref="A6:K6"/>
    <mergeCell ref="A4:E4"/>
    <mergeCell ref="A3:K3"/>
    <mergeCell ref="A20:K20"/>
    <mergeCell ref="A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workbookViewId="0"/>
  </sheetViews>
  <sheetFormatPr baseColWidth="10" defaultColWidth="9.140625" defaultRowHeight="15" x14ac:dyDescent="0.25"/>
  <cols>
    <col min="1" max="1" width="15" customWidth="1"/>
    <col min="2" max="2" width="24" customWidth="1"/>
    <col min="3" max="5" width="22" customWidth="1"/>
    <col min="6" max="6" width="20" customWidth="1"/>
    <col min="7" max="7" width="22" customWidth="1"/>
    <col min="8" max="8" width="20" customWidth="1"/>
  </cols>
  <sheetData>
    <row r="1" spans="1:8" x14ac:dyDescent="0.25">
      <c r="A1" s="46" t="s">
        <v>101</v>
      </c>
      <c r="B1" s="31"/>
      <c r="C1" s="31"/>
      <c r="D1" s="31"/>
      <c r="E1" s="31"/>
      <c r="F1" s="31"/>
      <c r="G1" s="31"/>
      <c r="H1" s="31"/>
    </row>
    <row r="2" spans="1:8" x14ac:dyDescent="0.25">
      <c r="A2" s="44" t="s">
        <v>102</v>
      </c>
      <c r="B2" s="31"/>
      <c r="C2" s="31"/>
      <c r="D2" s="31"/>
      <c r="E2" s="31"/>
      <c r="F2" s="31"/>
      <c r="G2" s="31"/>
      <c r="H2" s="31"/>
    </row>
    <row r="3" spans="1:8" x14ac:dyDescent="0.25">
      <c r="A3" s="1" t="s">
        <v>103</v>
      </c>
      <c r="B3" s="1" t="s">
        <v>104</v>
      </c>
      <c r="C3" s="1" t="s">
        <v>105</v>
      </c>
      <c r="D3" s="1" t="s">
        <v>106</v>
      </c>
      <c r="E3" s="1" t="s">
        <v>107</v>
      </c>
      <c r="F3" s="1" t="s">
        <v>108</v>
      </c>
      <c r="G3" s="1" t="s">
        <v>109</v>
      </c>
      <c r="H3" s="1" t="s">
        <v>110</v>
      </c>
    </row>
    <row r="4" spans="1:8" x14ac:dyDescent="0.25">
      <c r="A4" s="2">
        <v>1</v>
      </c>
      <c r="B4" s="24">
        <v>0</v>
      </c>
      <c r="C4" s="4">
        <v>11.048</v>
      </c>
      <c r="D4" s="4">
        <v>15</v>
      </c>
      <c r="E4" s="4">
        <v>18</v>
      </c>
      <c r="F4" s="4">
        <v>44.048000000000002</v>
      </c>
      <c r="G4" s="4">
        <v>44.048000000000002</v>
      </c>
      <c r="H4" s="25">
        <v>0</v>
      </c>
    </row>
    <row r="5" spans="1:8" x14ac:dyDescent="0.25">
      <c r="A5" s="6">
        <v>10</v>
      </c>
      <c r="B5" s="26">
        <v>0.05</v>
      </c>
      <c r="C5" s="8">
        <v>10.4956</v>
      </c>
      <c r="D5" s="8">
        <v>4.5868869999999999</v>
      </c>
      <c r="E5" s="8">
        <v>4.3031269999999999</v>
      </c>
      <c r="F5" s="8">
        <v>19.385614</v>
      </c>
      <c r="G5" s="8">
        <v>193.85614000000001</v>
      </c>
      <c r="H5" s="27">
        <v>0.55989797493643301</v>
      </c>
    </row>
    <row r="6" spans="1:8" x14ac:dyDescent="0.25">
      <c r="A6" s="2">
        <v>100</v>
      </c>
      <c r="B6" s="24">
        <v>0.15</v>
      </c>
      <c r="C6" s="4">
        <v>9.3908000000000005</v>
      </c>
      <c r="D6" s="4">
        <v>1.402636</v>
      </c>
      <c r="E6" s="4">
        <v>1.0287170000000001</v>
      </c>
      <c r="F6" s="4">
        <v>11.822153</v>
      </c>
      <c r="G6" s="4">
        <v>1182.2153000000001</v>
      </c>
      <c r="H6" s="25">
        <v>0.73160749636759892</v>
      </c>
    </row>
    <row r="7" spans="1:8" x14ac:dyDescent="0.25">
      <c r="A7" s="6">
        <v>1000</v>
      </c>
      <c r="B7" s="26">
        <v>0.28000000000000003</v>
      </c>
      <c r="C7" s="8">
        <v>7.9545599999999999</v>
      </c>
      <c r="D7" s="8">
        <v>0.42891499999999999</v>
      </c>
      <c r="E7" s="8">
        <v>0.24592800000000001</v>
      </c>
      <c r="F7" s="8">
        <v>8.6294029999999999</v>
      </c>
      <c r="G7" s="8">
        <v>8629.4030000000002</v>
      </c>
      <c r="H7" s="27">
        <v>0.80409092353795864</v>
      </c>
    </row>
    <row r="8" spans="1:8" x14ac:dyDescent="0.25">
      <c r="A8" s="2">
        <v>5000</v>
      </c>
      <c r="B8" s="24">
        <v>0.38</v>
      </c>
      <c r="C8" s="4">
        <v>6.8497599999999998</v>
      </c>
      <c r="D8" s="4">
        <v>0.18737000000000001</v>
      </c>
      <c r="E8" s="4">
        <v>9.0449000000000002E-2</v>
      </c>
      <c r="F8" s="4">
        <v>7.127578999999999</v>
      </c>
      <c r="G8" s="4">
        <v>35637.894999999997</v>
      </c>
      <c r="H8" s="25">
        <v>0.83818609244460585</v>
      </c>
    </row>
    <row r="10" spans="1:8" x14ac:dyDescent="0.25">
      <c r="A10" s="45" t="s">
        <v>111</v>
      </c>
      <c r="B10" s="31"/>
      <c r="C10" s="31"/>
      <c r="D10" s="31"/>
      <c r="E10" s="31"/>
      <c r="F10" s="31"/>
      <c r="G10" s="31"/>
      <c r="H10" s="31"/>
    </row>
    <row r="11" spans="1:8" x14ac:dyDescent="0.25">
      <c r="A11" s="43" t="s">
        <v>112</v>
      </c>
      <c r="B11" s="31"/>
      <c r="C11" s="31"/>
      <c r="D11" s="31"/>
      <c r="E11" s="31"/>
      <c r="F11" s="31"/>
      <c r="G11" s="31"/>
      <c r="H11" s="31"/>
    </row>
    <row r="12" spans="1:8" ht="42" customHeight="1" x14ac:dyDescent="0.25">
      <c r="A12" s="42" t="s">
        <v>113</v>
      </c>
      <c r="B12" s="31"/>
      <c r="C12" s="31"/>
      <c r="D12" s="31"/>
      <c r="E12" s="31"/>
      <c r="F12" s="31"/>
      <c r="G12" s="31"/>
      <c r="H12" s="31"/>
    </row>
    <row r="13" spans="1:8" x14ac:dyDescent="0.25">
      <c r="A13" s="43" t="s">
        <v>114</v>
      </c>
      <c r="B13" s="31"/>
      <c r="C13" s="31"/>
      <c r="D13" s="31"/>
      <c r="E13" s="31"/>
      <c r="F13" s="31"/>
      <c r="G13" s="31"/>
      <c r="H13" s="31"/>
    </row>
    <row r="14" spans="1:8" ht="42" customHeight="1" x14ac:dyDescent="0.25">
      <c r="A14" s="42" t="s">
        <v>115</v>
      </c>
      <c r="B14" s="31"/>
      <c r="C14" s="31"/>
      <c r="D14" s="31"/>
      <c r="E14" s="31"/>
      <c r="F14" s="31"/>
      <c r="G14" s="31"/>
      <c r="H14" s="31"/>
    </row>
    <row r="15" spans="1:8" x14ac:dyDescent="0.25">
      <c r="A15" s="43" t="s">
        <v>116</v>
      </c>
      <c r="B15" s="31"/>
      <c r="C15" s="31"/>
      <c r="D15" s="31"/>
      <c r="E15" s="31"/>
      <c r="F15" s="31"/>
      <c r="G15" s="31"/>
      <c r="H15" s="31"/>
    </row>
    <row r="16" spans="1:8" ht="42" customHeight="1" x14ac:dyDescent="0.25">
      <c r="A16" s="42" t="s">
        <v>117</v>
      </c>
      <c r="B16" s="31"/>
      <c r="C16" s="31"/>
      <c r="D16" s="31"/>
      <c r="E16" s="31"/>
      <c r="F16" s="31"/>
      <c r="G16" s="31"/>
      <c r="H16" s="31"/>
    </row>
    <row r="17" spans="1:8" x14ac:dyDescent="0.25">
      <c r="A17" s="43" t="s">
        <v>118</v>
      </c>
      <c r="B17" s="31"/>
      <c r="C17" s="31"/>
      <c r="D17" s="31"/>
      <c r="E17" s="31"/>
      <c r="F17" s="31"/>
      <c r="G17" s="31"/>
      <c r="H17" s="31"/>
    </row>
    <row r="18" spans="1:8" ht="42" customHeight="1" x14ac:dyDescent="0.25">
      <c r="A18" s="42" t="s">
        <v>119</v>
      </c>
      <c r="B18" s="31"/>
      <c r="C18" s="31"/>
      <c r="D18" s="31"/>
      <c r="E18" s="31"/>
      <c r="F18" s="31"/>
      <c r="G18" s="31"/>
      <c r="H18" s="31"/>
    </row>
  </sheetData>
  <mergeCells count="11">
    <mergeCell ref="A1:H1"/>
    <mergeCell ref="A17:H17"/>
    <mergeCell ref="A12:H12"/>
    <mergeCell ref="A18:H18"/>
    <mergeCell ref="A15:H15"/>
    <mergeCell ref="A2:H2"/>
    <mergeCell ref="A16:H16"/>
    <mergeCell ref="A10:H10"/>
    <mergeCell ref="A13:H13"/>
    <mergeCell ref="A11:H11"/>
    <mergeCell ref="A14:H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tabSelected="1" workbookViewId="0">
      <selection sqref="A1:E1"/>
    </sheetView>
  </sheetViews>
  <sheetFormatPr baseColWidth="10" defaultColWidth="9.140625" defaultRowHeight="15" x14ac:dyDescent="0.25"/>
  <cols>
    <col min="1" max="1" width="15" customWidth="1"/>
    <col min="2" max="5" width="22" customWidth="1"/>
  </cols>
  <sheetData>
    <row r="1" spans="1:5" ht="20.100000000000001" customHeight="1" x14ac:dyDescent="0.25">
      <c r="A1" s="46" t="s">
        <v>120</v>
      </c>
      <c r="B1" s="31"/>
      <c r="C1" s="31"/>
      <c r="D1" s="31"/>
      <c r="E1" s="31"/>
    </row>
    <row r="2" spans="1:5" x14ac:dyDescent="0.25">
      <c r="A2" s="1" t="s">
        <v>103</v>
      </c>
      <c r="B2" s="1" t="s">
        <v>121</v>
      </c>
      <c r="C2" s="1" t="s">
        <v>122</v>
      </c>
      <c r="D2" s="1" t="s">
        <v>123</v>
      </c>
      <c r="E2" s="1" t="s">
        <v>124</v>
      </c>
    </row>
    <row r="3" spans="1:5" x14ac:dyDescent="0.25">
      <c r="A3" s="6">
        <v>1</v>
      </c>
      <c r="B3" s="28">
        <v>11.048</v>
      </c>
      <c r="C3" s="28">
        <v>15</v>
      </c>
      <c r="D3" s="28">
        <v>18</v>
      </c>
      <c r="E3" s="28">
        <v>44.048000000000002</v>
      </c>
    </row>
    <row r="4" spans="1:5" x14ac:dyDescent="0.25">
      <c r="A4" s="2">
        <v>10</v>
      </c>
      <c r="B4" s="29">
        <v>10.4956</v>
      </c>
      <c r="C4" s="29">
        <v>4.5868869999999999</v>
      </c>
      <c r="D4" s="29">
        <v>4.3031269999999999</v>
      </c>
      <c r="E4" s="29">
        <v>19.385614</v>
      </c>
    </row>
    <row r="5" spans="1:5" x14ac:dyDescent="0.25">
      <c r="A5" s="6">
        <v>100</v>
      </c>
      <c r="B5" s="28">
        <v>9.3908000000000005</v>
      </c>
      <c r="C5" s="28">
        <v>1.402636</v>
      </c>
      <c r="D5" s="28">
        <v>1.0287170000000001</v>
      </c>
      <c r="E5" s="28">
        <v>11.822153</v>
      </c>
    </row>
    <row r="6" spans="1:5" x14ac:dyDescent="0.25">
      <c r="A6" s="2">
        <v>1000</v>
      </c>
      <c r="B6" s="29">
        <v>7.9545599999999999</v>
      </c>
      <c r="C6" s="29">
        <v>0.42891499999999999</v>
      </c>
      <c r="D6" s="29">
        <v>0.24592800000000001</v>
      </c>
      <c r="E6" s="29">
        <v>8.6294029999999999</v>
      </c>
    </row>
    <row r="7" spans="1:5" x14ac:dyDescent="0.25">
      <c r="A7" s="6">
        <v>5000</v>
      </c>
      <c r="B7" s="28">
        <v>6.8497599999999998</v>
      </c>
      <c r="C7" s="28">
        <v>0.18737000000000001</v>
      </c>
      <c r="D7" s="28">
        <v>9.0449000000000002E-2</v>
      </c>
      <c r="E7" s="28">
        <v>7.127578999999999</v>
      </c>
    </row>
  </sheetData>
  <mergeCells count="1">
    <mergeCell ref="A1:E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BOM Summary</vt:lpstr>
      <vt:lpstr>Scale Economics</vt:lpstr>
      <vt:lpstr>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JOSE VARGAS HIGUERA</cp:lastModifiedBy>
  <dcterms:created xsi:type="dcterms:W3CDTF">2026-06-10T16:57:47Z</dcterms:created>
  <dcterms:modified xsi:type="dcterms:W3CDTF">2026-06-10T17:17:40Z</dcterms:modified>
</cp:coreProperties>
</file>