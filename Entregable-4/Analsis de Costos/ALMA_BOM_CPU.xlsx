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santiago_vargas5_udea_edu_co/Documents/Estudio/Materias/S10/Diseño-Prod.-Electronicos/ProyectoFinal/Repo/Proyecto-ALMA-DEP/Entregable-4/Material Soporte/"/>
    </mc:Choice>
  </mc:AlternateContent>
  <xr:revisionPtr revIDLastSave="4" documentId="11_2A805DD01A403A1DE081B0E11BF0A383F6F72339" xr6:coauthVersionLast="47" xr6:coauthVersionMax="47" xr10:uidLastSave="{44131EF3-CD6F-42E5-AA1F-1FB31E594E67}"/>
  <bookViews>
    <workbookView xWindow="-120" yWindow="-120" windowWidth="29040" windowHeight="15720" activeTab="2" xr2:uid="{00000000-000D-0000-FFFF-FFFF00000000}"/>
  </bookViews>
  <sheets>
    <sheet name="BOM Summary" sheetId="1" r:id="rId1"/>
    <sheet name="Scale Economics" sheetId="2" r:id="rId2"/>
    <sheet name="Chart" sheetId="3" r:id="rId3"/>
  </sheets>
  <calcPr calcId="0"/>
</workbook>
</file>

<file path=xl/sharedStrings.xml><?xml version="1.0" encoding="utf-8"?>
<sst xmlns="http://schemas.openxmlformats.org/spreadsheetml/2006/main" count="488" uniqueCount="307">
  <si>
    <t>ALMA — Main CPU (10L FR4 + Via-in-Pad + 50Ω) — Bill of Materials (BOM) | Technical Cost Report</t>
  </si>
  <si>
    <t>Component Cost Analysis — 1 Unit | Suppliers: Mouser · DigiKey · Arrow · Farnell · PCBWay</t>
  </si>
  <si>
    <t>PCB Stack: 10 capas FR4 | Finish: ENIG | Via-in-Pad ✓ | Impedancia controlada 50Ω ✓</t>
  </si>
  <si>
    <t>🟢 = precio verificado   ⚠️ = REVISAR MANUALMENTE</t>
  </si>
  <si>
    <t>#</t>
  </si>
  <si>
    <t>Nombre / Descripción</t>
  </si>
  <si>
    <t>Fabricante</t>
  </si>
  <si>
    <t>Qty</t>
  </si>
  <si>
    <t>MPN</t>
  </si>
  <si>
    <t>Designator</t>
  </si>
  <si>
    <t>Descripción Técnica</t>
  </si>
  <si>
    <t>Referencia / Fuente Precio</t>
  </si>
  <si>
    <t>Precio Unit. (USD)</t>
  </si>
  <si>
    <t>Total (USD)</t>
  </si>
  <si>
    <t>Estado</t>
  </si>
  <si>
    <t>✅  COMPONENTES — PRECIO VERIFICADO</t>
  </si>
  <si>
    <t>RK3568</t>
  </si>
  <si>
    <t>Rockchip</t>
  </si>
  <si>
    <t>U1</t>
  </si>
  <si>
    <t>Quad-core ARM Cortex-A55 @ 2GHz, 22nm SoC</t>
  </si>
  <si>
    <t>lcsc.com – C2938930</t>
  </si>
  <si>
    <t>🟢 OK</t>
  </si>
  <si>
    <t>MT53E512M32D1ZW</t>
  </si>
  <si>
    <t>Micron Technology</t>
  </si>
  <si>
    <t>MT53E512M32D1ZW-046_IT:B_TR</t>
  </si>
  <si>
    <t>U2</t>
  </si>
  <si>
    <t>SDRAM LPDDR4 16Gbit 2.133GHz 200-TFBGA</t>
  </si>
  <si>
    <t>DigiKey</t>
  </si>
  <si>
    <t>THGBMNG5D1LBAIL</t>
  </si>
  <si>
    <t>Kioxia</t>
  </si>
  <si>
    <t>U3</t>
  </si>
  <si>
    <t>NAND MLC eMMC 32Gb 200MHz 153-WFBGA</t>
  </si>
  <si>
    <t>DigiKey / LCSC</t>
  </si>
  <si>
    <t>TXB0106RGYR</t>
  </si>
  <si>
    <t>Texas Instruments</t>
  </si>
  <si>
    <t>U7</t>
  </si>
  <si>
    <t>6-bit bidirectional level shifter 1.8-5V QFN-16</t>
  </si>
  <si>
    <t>Mouser 595-TXB0106RGYR</t>
  </si>
  <si>
    <t>TPS62130ARGTR</t>
  </si>
  <si>
    <t>U9</t>
  </si>
  <si>
    <t>3-17V 3A DCS-control step-down 16-VQFN</t>
  </si>
  <si>
    <t>Mouser 595-TPS62130ARGTR</t>
  </si>
  <si>
    <t>AP3429AKTTR-G1</t>
  </si>
  <si>
    <t>Diodes Inc.</t>
  </si>
  <si>
    <t>U15</t>
  </si>
  <si>
    <t>5.5V 1MHz 2A step-down TSOT-25</t>
  </si>
  <si>
    <t>Mouser 621-AP3429AKTTR-G1</t>
  </si>
  <si>
    <t>TAS5805MPWPR</t>
  </si>
  <si>
    <t>U6</t>
  </si>
  <si>
    <t>Mono/Stereo Class-D audio amp 41W/27.5W 28-HTSSOP</t>
  </si>
  <si>
    <t>DigiKey 296-51627-1-ND</t>
  </si>
  <si>
    <t>LTC3025IDC-4 1V8</t>
  </si>
  <si>
    <t>Analog Devices</t>
  </si>
  <si>
    <t>LTC3025IDC-4#TRMPBF</t>
  </si>
  <si>
    <t>U5</t>
  </si>
  <si>
    <t>500mA VLDO 1.8V linear regulator</t>
  </si>
  <si>
    <t>Mouser 584-C3025IDC-4TRMPBF</t>
  </si>
  <si>
    <t>LBEE5PK2BC-771</t>
  </si>
  <si>
    <t>Murata</t>
  </si>
  <si>
    <t>U12</t>
  </si>
  <si>
    <t>WiFi 802.11ac + BT5.2 2.4/5GHz module</t>
  </si>
  <si>
    <t>Mouser 81-LBEE5PK2BC-771</t>
  </si>
  <si>
    <t>SY8089AAAC</t>
  </si>
  <si>
    <t>Silergy Corp.</t>
  </si>
  <si>
    <t>U4</t>
  </si>
  <si>
    <t>2A 2.7-5.5V step-down SOT-23-5</t>
  </si>
  <si>
    <t>LCSC – C78988</t>
  </si>
  <si>
    <t>22uF 0402 10V</t>
  </si>
  <si>
    <t>GRM158R61A226ME15D</t>
  </si>
  <si>
    <t>C1,C23,C58,…</t>
  </si>
  <si>
    <t>10V 22uF X5R 0402</t>
  </si>
  <si>
    <t>Arrow GRM158R61A226ME15D</t>
  </si>
  <si>
    <t>100nF 0201 (X6S)</t>
  </si>
  <si>
    <t>Taiyo Yuden</t>
  </si>
  <si>
    <t>TMK063C6104KP-F</t>
  </si>
  <si>
    <t>C2–C162 (69pcs)</t>
  </si>
  <si>
    <t>25V 100nF X6S 0201</t>
  </si>
  <si>
    <t>DigiKey 587-6347-1-ND</t>
  </si>
  <si>
    <t>GRM0335C1H102GE01D</t>
  </si>
  <si>
    <t>C73–C82</t>
  </si>
  <si>
    <t>50V 1nF C0G 0201</t>
  </si>
  <si>
    <t>Mouser 81-GRM0335C1H102GE1D</t>
  </si>
  <si>
    <t>UMK105CBJ105MV-F</t>
  </si>
  <si>
    <t>C65,C69</t>
  </si>
  <si>
    <t>50V 1uF X5R 0402</t>
  </si>
  <si>
    <t>Avnet 02AH5347</t>
  </si>
  <si>
    <t>CC0402KRX7R5BB105</t>
  </si>
  <si>
    <t>Yageo Group</t>
  </si>
  <si>
    <t>C134,C136,C137</t>
  </si>
  <si>
    <t>6.3V 1uF X7R 0402</t>
  </si>
  <si>
    <t>Arrow</t>
  </si>
  <si>
    <t>4.7uF 0201 6.3V</t>
  </si>
  <si>
    <t>GRM035R60J475ME15J</t>
  </si>
  <si>
    <t>C52,C96… (9pcs)</t>
  </si>
  <si>
    <t>6.3V 4.7uF X5R 0201</t>
  </si>
  <si>
    <t>10uF 0402 (X5R)</t>
  </si>
  <si>
    <t>GRM155R60J106ME15J</t>
  </si>
  <si>
    <t>C5,C18… (12pcs)</t>
  </si>
  <si>
    <t>6.3V 10uF X5R 0402</t>
  </si>
  <si>
    <t>GRM21BC81H475KE11K</t>
  </si>
  <si>
    <t>C66</t>
  </si>
  <si>
    <t>50V 4.7uF X6S 0805</t>
  </si>
  <si>
    <t>Mouser</t>
  </si>
  <si>
    <t>18pF 0201 C0G</t>
  </si>
  <si>
    <t>GRT0335C1H180FA02D</t>
  </si>
  <si>
    <t>C123,C124</t>
  </si>
  <si>
    <t>50V 18pF C0G 0201</t>
  </si>
  <si>
    <t>100pF 0201</t>
  </si>
  <si>
    <t>GRM033B11C101JA01D</t>
  </si>
  <si>
    <t>C56,C158</t>
  </si>
  <si>
    <t>16V 100pF B 0201</t>
  </si>
  <si>
    <t>AMK105BBJ475MVHF</t>
  </si>
  <si>
    <t>C135</t>
  </si>
  <si>
    <t>4V 4.7uF X5R 0402</t>
  </si>
  <si>
    <t>1uF 0402 (Murata GXT)</t>
  </si>
  <si>
    <t>GXT155C80J105KE01D</t>
  </si>
  <si>
    <t>C91,C92</t>
  </si>
  <si>
    <t>6.3V 1uF X6S 0402</t>
  </si>
  <si>
    <t>Cap 1uF 0402 (CC KRX5)</t>
  </si>
  <si>
    <t>CC0402KRX5R5BB105</t>
  </si>
  <si>
    <t>C20,C42,C83,C84,C89</t>
  </si>
  <si>
    <t>6.3V 1uF 0402</t>
  </si>
  <si>
    <t>Cap 1uF 0402 10V</t>
  </si>
  <si>
    <t>CC0402KRX5R6BB105</t>
  </si>
  <si>
    <t>C126,C128,C130,C132</t>
  </si>
  <si>
    <t>10V 1uF 0402</t>
  </si>
  <si>
    <t>Cap 10uF 0603 10V</t>
  </si>
  <si>
    <t>TDK</t>
  </si>
  <si>
    <t>C1608X5R1A106K080AC</t>
  </si>
  <si>
    <t>C157,C160</t>
  </si>
  <si>
    <t>10V 10uF X5R 0603</t>
  </si>
  <si>
    <t>Cap 22uF 0805 16V</t>
  </si>
  <si>
    <t>Samsung Elec.</t>
  </si>
  <si>
    <t>CL21A226MOQNNNE</t>
  </si>
  <si>
    <t>C59,C60,C63,C64</t>
  </si>
  <si>
    <t>16V 22uF 0805</t>
  </si>
  <si>
    <t>Newark</t>
  </si>
  <si>
    <t>Cap 100nF 0402 10V</t>
  </si>
  <si>
    <t>KYOCERA AVX</t>
  </si>
  <si>
    <t>0402ZD104KAT4A</t>
  </si>
  <si>
    <t>C159</t>
  </si>
  <si>
    <t>10V 100nF 0402</t>
  </si>
  <si>
    <t>UMK105BJ104MP-F</t>
  </si>
  <si>
    <t>C61,C62,C67,C79,C80</t>
  </si>
  <si>
    <t>50V 100nF X5R 0402</t>
  </si>
  <si>
    <t>UMK105BJ224KV-F</t>
  </si>
  <si>
    <t>C68,C70,C71,C72</t>
  </si>
  <si>
    <t>50V 0.22uF X5R 0402</t>
  </si>
  <si>
    <t>RT0805BRD0768RL</t>
  </si>
  <si>
    <t>R7–R10</t>
  </si>
  <si>
    <t>68Ω 0.1% 125mW TF 0805</t>
  </si>
  <si>
    <t>Mouser 603-RT0805BRD0768RL</t>
  </si>
  <si>
    <t>RP73PF1E10KBTDF</t>
  </si>
  <si>
    <t>TE Connectivity</t>
  </si>
  <si>
    <t>R5,R11,R25–R32</t>
  </si>
  <si>
    <t>10kΩ 0.1% TF 0402 Medical</t>
  </si>
  <si>
    <t>MCT06030D4701BP500</t>
  </si>
  <si>
    <t>Vishay</t>
  </si>
  <si>
    <t>R6</t>
  </si>
  <si>
    <t>4.7kΩ 0.1% TF 0603</t>
  </si>
  <si>
    <t>Mouser 594-MCT06030D4701BP5</t>
  </si>
  <si>
    <t>CRCW0402100KFKEE</t>
  </si>
  <si>
    <t>R13</t>
  </si>
  <si>
    <t>100kΩ 1% 0402 63mW</t>
  </si>
  <si>
    <t>CRCW0402240RJNED</t>
  </si>
  <si>
    <t>R1</t>
  </si>
  <si>
    <t>240Ω 5% 0402 63mW</t>
  </si>
  <si>
    <t>RK73H1HTTCM2001F</t>
  </si>
  <si>
    <t>KOA Speer</t>
  </si>
  <si>
    <t>R3</t>
  </si>
  <si>
    <t>2kΩ 1% TF 0201</t>
  </si>
  <si>
    <t>Mouser 660-RK73H1HTTCM2001F</t>
  </si>
  <si>
    <t>MCR006YLPF22R0</t>
  </si>
  <si>
    <t>ROHM</t>
  </si>
  <si>
    <t>R17,R19,R37–R40</t>
  </si>
  <si>
    <t>22Ω 1% TF 0201</t>
  </si>
  <si>
    <t>120Ω 0201</t>
  </si>
  <si>
    <t>Multicomp</t>
  </si>
  <si>
    <t>MCRE000118</t>
  </si>
  <si>
    <t>R16</t>
  </si>
  <si>
    <t>120Ω 1% 0201</t>
  </si>
  <si>
    <t>Newark MCRE000118</t>
  </si>
  <si>
    <t>1MΩ 0201</t>
  </si>
  <si>
    <t>MCRE000212</t>
  </si>
  <si>
    <t>R18</t>
  </si>
  <si>
    <t>1MΩ 1% 0201</t>
  </si>
  <si>
    <t>Newark MCRE000212</t>
  </si>
  <si>
    <t>7447713015</t>
  </si>
  <si>
    <t>Wurth Elektronik</t>
  </si>
  <si>
    <t>L5</t>
  </si>
  <si>
    <t>1.5uH 6.2A shielded power inductor</t>
  </si>
  <si>
    <t>Mouser 710-7447713015</t>
  </si>
  <si>
    <t>1225AS-H-2R2M=P2</t>
  </si>
  <si>
    <t>L1,L6</t>
  </si>
  <si>
    <t>2.2uH 2A shielded 1211 DDR4</t>
  </si>
  <si>
    <t>74479275222</t>
  </si>
  <si>
    <t>L3,L4</t>
  </si>
  <si>
    <t>2.2uH 1.3A shielded 0805</t>
  </si>
  <si>
    <t>Mouser 710-74479275222</t>
  </si>
  <si>
    <t>BLM18KG300TZ1D</t>
  </si>
  <si>
    <t>FB1–FB4</t>
  </si>
  <si>
    <t>30Ω ferrite bead 5A 0603 AEC-Q200</t>
  </si>
  <si>
    <t>DigiKey 490-16498-1-ND</t>
  </si>
  <si>
    <t>U.FL-R-SMT-1(01)</t>
  </si>
  <si>
    <t>Hirose Electric</t>
  </si>
  <si>
    <t>P1</t>
  </si>
  <si>
    <t>U.FL SMT coax 50Ω connector</t>
  </si>
  <si>
    <t>Avnet</t>
  </si>
  <si>
    <t>FH12-8S-0.5SH(55)</t>
  </si>
  <si>
    <t>J3</t>
  </si>
  <si>
    <t>8-pin 0.5mm FFC/FPC ZIF connector</t>
  </si>
  <si>
    <t>Mouser 798-FH128S05SH55</t>
  </si>
  <si>
    <t>B2B-EH-A(LF)(SN)</t>
  </si>
  <si>
    <t>JST</t>
  </si>
  <si>
    <t>J1</t>
  </si>
  <si>
    <t>2-pin EH 2.5mm crimp header</t>
  </si>
  <si>
    <t>Mouser 306-B2BEHALFSNP</t>
  </si>
  <si>
    <t>43650-0229</t>
  </si>
  <si>
    <t>Molex</t>
  </si>
  <si>
    <t>J4,J5</t>
  </si>
  <si>
    <t>2-pin Molex header 0.76µm gold</t>
  </si>
  <si>
    <t>ABM8W-24MHz</t>
  </si>
  <si>
    <t>Abracon</t>
  </si>
  <si>
    <t>ABM8W-24.0000MHZ-7-B1U-T3</t>
  </si>
  <si>
    <t>Y1</t>
  </si>
  <si>
    <t>24MHz ±10ppm crystal SMD</t>
  </si>
  <si>
    <t>SIT1533AI-H4-DCC-32.768S</t>
  </si>
  <si>
    <t>SiTime</t>
  </si>
  <si>
    <t>Y2</t>
  </si>
  <si>
    <t>32.768kHz MEMS oscillator 2x1.2mm</t>
  </si>
  <si>
    <t>DigiKey 1473-30154-1-ND</t>
  </si>
  <si>
    <t>⚠️  COMPONENTES — REQUIEREN REVISIÓN MANUAL (precio no encontrado / MPN no estándar)</t>
  </si>
  <si>
    <t>SCT2250FPAR</t>
  </si>
  <si>
    <t>SCT</t>
  </si>
  <si>
    <t>U13</t>
  </si>
  <si>
    <t>4.5-18V 5A step-down 12-PowerVFQFN</t>
  </si>
  <si>
    <t>REVISAR MANUALMENTE</t>
  </si>
  <si>
    <t>—</t>
  </si>
  <si>
    <t>⚠️ REVISAR</t>
  </si>
  <si>
    <t>3.3nF 0201</t>
  </si>
  <si>
    <t>TMR063B7332KP-F</t>
  </si>
  <si>
    <t>C88</t>
  </si>
  <si>
    <t>25V 3.3nF X7R 0201</t>
  </si>
  <si>
    <t>2D2KR2J (2.2kΩ)</t>
  </si>
  <si>
    <t>2D2KR2J</t>
  </si>
  <si>
    <t>R20–R23</t>
  </si>
  <si>
    <t>2.2kΩ 5% 0402 63mW</t>
  </si>
  <si>
    <t>2KR2J (2kΩ)</t>
  </si>
  <si>
    <t>2KR2J</t>
  </si>
  <si>
    <t>R42</t>
  </si>
  <si>
    <t>2kΩ 5% 0402 63mW</t>
  </si>
  <si>
    <t>100KR2F (100kΩ)</t>
  </si>
  <si>
    <t>100KR2F</t>
  </si>
  <si>
    <t>R2,R4,R43,R44</t>
  </si>
  <si>
    <t>301KR2F (301kΩ)</t>
  </si>
  <si>
    <t>301KR2F</t>
  </si>
  <si>
    <t>R14,R15</t>
  </si>
  <si>
    <t>301kΩ 1% 0402 63mW</t>
  </si>
  <si>
    <t>LTR10EZPF33R0</t>
  </si>
  <si>
    <t>R33–R36</t>
  </si>
  <si>
    <t>33Ω 1% 1W 0508 Wide-terminal</t>
  </si>
  <si>
    <t>RT0201BRD074K75L</t>
  </si>
  <si>
    <t>R24</t>
  </si>
  <si>
    <t>4.75kΩ 0.1% TF 0201</t>
  </si>
  <si>
    <t>BLM18AG121SN1D</t>
  </si>
  <si>
    <t>L2</t>
  </si>
  <si>
    <t>120Ω ferrite bead 0.5A 0603</t>
  </si>
  <si>
    <t>FH12-20S-0.5SH_55_</t>
  </si>
  <si>
    <t>FH12-20S-0.5SH(55)</t>
  </si>
  <si>
    <t>J2,J6</t>
  </si>
  <si>
    <t>20-pin 0.5mm FFC/FPC ZIF connector</t>
  </si>
  <si>
    <t>🔵  FABRICACIÓN PCB + ENSAMBLAJE SMT (costo unitario prototipo 1 ud)</t>
  </si>
  <si>
    <t>PCB Fabricación FR4</t>
  </si>
  <si>
    <t>PCBWay</t>
  </si>
  <si>
    <t>10L FR4 + Via-in-Pad + 50Ω impedance control – PCBWay advanced quote (REVISAR)</t>
  </si>
  <si>
    <t>pcbway.com (estimado)</t>
  </si>
  <si>
    <t>⚠️ ESTIMADO</t>
  </si>
  <si>
    <t>Ensamblaje SMT</t>
  </si>
  <si>
    <t>PCBWay Assembly</t>
  </si>
  <si>
    <t>Pick &amp; place + reflujo + AOI + stencil (proto 1ud)</t>
  </si>
  <si>
    <t>⬛  TOTAL COMPONENTES — 1 UNIDAD (solo verificados)</t>
  </si>
  <si>
    <t>🔷  TOTAL + FABRICACIÓN + SMT — COSTO TOTAL ESTIMADO PROTOTIPO 1 UNIDAD</t>
  </si>
  <si>
    <t>⚠  NOTA: Los costos anteriores cubren componentes electrónicos verificados online. Los componentes marcados "REVISAR MANUALMENTE" no incluyen precio y deben cotizarse directamente con el distribuidor o fabricante. El costo de PCB (10L FR4) y ensamblaje SMT son ESTIMADOS basados en PCBWay para 1 prototipo ~100x100mm. El costo final de producción en volumen puede ser hasta 60–80% menor gracias a la economía de escala. Ver pestaña "Scale Economics" para proyección de costos por volumen.</t>
  </si>
  <si>
    <t>ALMA — Main CPU (10L FR4 + Via-in-Pad + 50Ω) — Economía de Escala | Proyección de Costos por Volumen</t>
  </si>
  <si>
    <t>Modelo: Ley de Wright (Learning Curves) + Descuentos por Volumen Distribuidor | Componentes + Fabricación PCB 10L FR4 + Ensamblaje SMT</t>
  </si>
  <si>
    <t>Volumen (uds)</t>
  </si>
  <si>
    <t>Descuento Comp.</t>
  </si>
  <si>
    <t>Costo Comp./ud (USD)</t>
  </si>
  <si>
    <t>PCB Fab/ud (USD)</t>
  </si>
  <si>
    <t>SMT Assembly/ud (USD)</t>
  </si>
  <si>
    <t>TOTAL/ud (USD)</t>
  </si>
  <si>
    <t>TOTAL Lote (USD)</t>
  </si>
  <si>
    <t>Ahorro vs 1 ud</t>
  </si>
  <si>
    <t>📊  ANÁLISIS TÉCNICO — Por qué el precio disminuye con el volumen</t>
  </si>
  <si>
    <t>🔩 Componentes (Learning Rate ~15–38%)</t>
  </si>
  <si>
    <t>A volumen mayor, los distribuidores aplican price-breaks escalonados (tiered pricing). A partir de 100 uds se accede a precios "volume break"; a 1.000+ se negocian precios OEM/directo. La Ley de Wright (b = ln(1-LR)/ln(2)) modela matemáticamente esta reducción.</t>
  </si>
  <si>
    <t>🟦 Fabricación PCB 10L FR4 (Learning Rate ~30%)</t>
  </si>
  <si>
    <t>El sustrato FR4 multi-capa tiene costes de configuración fijos (tooling, Gerber setup). A mayor volumen se amortizan entre más unidades. PCBWay ofrece descuentos agresivos desde 100 paneles.</t>
  </si>
  <si>
    <t>⚙️  Ensamblaje SMT (Learning Rate ~35% — la más agresiva)</t>
  </si>
  <si>
    <t>El ensamblaje SMT (stencil, pick &amp; place, reflujo, AOI, test) tiene costes fijos elevados de setup (stencil ~$80–150, programación máquina). A 5.000 uds, el SMT puede ser &lt;$5/ud vs $35 en prototipo.</t>
  </si>
  <si>
    <t>📉 Mayores Ahorros</t>
  </si>
  <si>
    <t>La mayor caída de coste por unidad ocurre entre 1 → 100 uds. Entre 100 → 1.000 uds el ahorro es significativo. De 1.000 → 5.000 la curva se aplana. Los ítems con mayor impacto de escala: SMT Assembly &gt; PCB Fab &gt; Componentes pasivos.</t>
  </si>
  <si>
    <t>ALMA — Main CPU (10L FR4 + Via-in-Pad + 50Ω) — Curva de Coste vs Volumen de Producción</t>
  </si>
  <si>
    <t>Componentes (USD/ud)</t>
  </si>
  <si>
    <t>PCB Fab FR4 (USD/ud)</t>
  </si>
  <si>
    <t>SMT Assembly (USD/ud)</t>
  </si>
  <si>
    <t>TOTAL (USD/ud)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</si>
</sst>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\$#,##0.00"/>
  </numFmts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9"/>
      <color rgb="FF1F3864"/>
      <name val="Arial"/>
    </font>
    <font>
      <sz val="9"/>
      <color rgb="FF595959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375623"/>
      <name val="Arial"/>
    </font>
    <font>
      <b/>
      <sz val="9"/>
      <color rgb="FF7F3F00"/>
      <name val="Arial"/>
    </font>
    <font>
      <b/>
      <sz val="9"/>
      <color rgb="FFC00000"/>
      <name val="Arial"/>
    </font>
    <font>
      <b/>
      <sz val="10"/>
      <color rgb="FFFFFFFF"/>
      <name val="Arial"/>
    </font>
    <font>
      <b/>
      <sz val="11"/>
      <color rgb="FFFFFF00"/>
      <name val="Arial"/>
    </font>
    <font>
      <b/>
      <sz val="10"/>
      <color rgb="FF1F3864"/>
      <name val="Arial"/>
    </font>
    <font>
      <b/>
      <sz val="12"/>
      <color rgb="FFC00000"/>
      <name val="Arial"/>
    </font>
    <font>
      <i/>
      <sz val="8"/>
      <color rgb="FF595959"/>
      <name val="Arial"/>
    </font>
    <font>
      <b/>
      <sz val="12"/>
      <color rgb="FFFFFFFF"/>
      <name val="Arial"/>
    </font>
    <font>
      <i/>
      <sz val="9"/>
      <color rgb="FFFFFFFF"/>
      <name val="Arial"/>
    </font>
    <font>
      <b/>
      <sz val="9"/>
      <color rgb="FF2E75B6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9D9D9"/>
      </patternFill>
    </fill>
    <fill>
      <patternFill patternType="solid">
        <fgColor rgb="FF70AD47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8FC"/>
      </patternFill>
    </fill>
    <fill>
      <patternFill patternType="solid">
        <fgColor rgb="FFFFC000"/>
      </patternFill>
    </fill>
    <fill>
      <patternFill patternType="solid">
        <fgColor rgb="FFFFF2CC"/>
      </patternFill>
    </fill>
    <fill>
      <patternFill patternType="solid">
        <fgColor rgb="FFFFF9E8"/>
      </patternFill>
    </fill>
    <fill>
      <patternFill patternType="solid">
        <fgColor rgb="FFDEEA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65" fontId="11" fillId="2" borderId="1" xfId="0" applyNumberFormat="1" applyFont="1" applyFill="1" applyBorder="1" applyAlignment="1">
      <alignment horizontal="center" vertical="center" wrapText="1"/>
    </xf>
    <xf numFmtId="0" fontId="0" fillId="2" borderId="0" xfId="0" applyFill="1"/>
    <xf numFmtId="165" fontId="13" fillId="10" borderId="1" xfId="0" applyNumberFormat="1" applyFont="1" applyFill="1" applyBorder="1" applyAlignment="1">
      <alignment horizontal="center" vertical="center" wrapText="1"/>
    </xf>
    <xf numFmtId="0" fontId="0" fillId="10" borderId="0" xfId="0" applyFill="1"/>
    <xf numFmtId="9" fontId="6" fillId="7" borderId="1" xfId="0" applyNumberFormat="1" applyFont="1" applyFill="1" applyBorder="1" applyAlignment="1">
      <alignment horizontal="center" vertical="center" wrapText="1"/>
    </xf>
    <xf numFmtId="10" fontId="6" fillId="7" borderId="1" xfId="0" applyNumberFormat="1" applyFont="1" applyFill="1" applyBorder="1" applyAlignment="1">
      <alignment horizontal="center" vertical="center" wrapText="1"/>
    </xf>
    <xf numFmtId="9" fontId="6" fillId="9" borderId="1" xfId="0" applyNumberFormat="1" applyFont="1" applyFill="1" applyBorder="1" applyAlignment="1">
      <alignment horizontal="center" vertical="center" wrapText="1"/>
    </xf>
    <xf numFmtId="10" fontId="6" fillId="9" borderId="1" xfId="0" applyNumberFormat="1" applyFont="1" applyFill="1" applyBorder="1" applyAlignment="1">
      <alignment horizontal="center" vertical="center" wrapText="1"/>
    </xf>
    <xf numFmtId="4" fontId="6" fillId="9" borderId="1" xfId="0" applyNumberFormat="1" applyFont="1" applyFill="1" applyBorder="1" applyAlignment="1">
      <alignment horizontal="center" vertical="center" wrapText="1"/>
    </xf>
    <xf numFmtId="4" fontId="6" fillId="7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0" fillId="0" borderId="0" xfId="0"/>
    <xf numFmtId="0" fontId="5" fillId="6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0" fillId="5" borderId="0" xfId="0" applyFill="1"/>
    <xf numFmtId="0" fontId="5" fillId="3" borderId="0" xfId="0" applyFont="1" applyFill="1" applyAlignment="1">
      <alignment horizontal="left" vertical="center" wrapText="1"/>
    </xf>
    <xf numFmtId="0" fontId="14" fillId="14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7" fillId="9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center" vertical="center" wrapText="1"/>
    </xf>
    <xf numFmtId="0" fontId="12" fillId="13" borderId="0" xfId="0" applyFont="1" applyFill="1" applyAlignment="1">
      <alignment horizontal="left" vertical="center" wrapText="1"/>
    </xf>
    <xf numFmtId="0" fontId="1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CO"/>
              <a:t>Costo Total por Unidad vs Volumen — ALMA — Main CPU (10L FR4 + Via-in-Pad + 50</a:t>
            </a:r>
            <a:r>
              <a:rPr lang="el-GR"/>
              <a:t>Ω)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Componentes</c:v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Chart!$B$3:$B$7</c:f>
              <c:numCache>
                <c:formatCode>#,##0.00</c:formatCode>
                <c:ptCount val="5"/>
                <c:pt idx="0">
                  <c:v>114.00190000000001</c:v>
                </c:pt>
                <c:pt idx="1">
                  <c:v>108.301805</c:v>
                </c:pt>
                <c:pt idx="2">
                  <c:v>96.901615000000007</c:v>
                </c:pt>
                <c:pt idx="3">
                  <c:v>82.081367999999998</c:v>
                </c:pt>
                <c:pt idx="4">
                  <c:v>70.681178000000003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3-474D-AE68-C6512980CC2F}"/>
            </c:ext>
          </c:extLst>
        </c:ser>
        <c:ser>
          <c:idx val="1"/>
          <c:order val="1"/>
          <c:tx>
            <c:v>PCB Fabricación</c:v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Chart!$C$3:$C$7</c:f>
              <c:numCache>
                <c:formatCode>#,##0.00</c:formatCode>
                <c:ptCount val="5"/>
                <c:pt idx="0">
                  <c:v>280</c:v>
                </c:pt>
                <c:pt idx="1">
                  <c:v>85.621899999999997</c:v>
                </c:pt>
                <c:pt idx="2">
                  <c:v>26.182535000000001</c:v>
                </c:pt>
                <c:pt idx="3">
                  <c:v>8.0064229999999998</c:v>
                </c:pt>
                <c:pt idx="4">
                  <c:v>3.4975770000000002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3-474D-AE68-C6512980CC2F}"/>
            </c:ext>
          </c:extLst>
        </c:ser>
        <c:ser>
          <c:idx val="2"/>
          <c:order val="2"/>
          <c:tx>
            <c:v>SMT Assembly</c:v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1"/>
          <c:cat>
            <c:numRef>
              <c:f>Chart!$A$3:$A$7</c:f>
              <c:numCache>
                <c:formatCode>General</c:formatCode>
                <c:ptCount val="5"/>
                <c:pt idx="0">
                  <c:v>1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5000</c:v>
                </c:pt>
              </c:numCache>
            </c:numRef>
          </c:cat>
          <c:val>
            <c:numRef>
              <c:f>Chart!$D$3:$D$7</c:f>
              <c:numCache>
                <c:formatCode>#,##0.00</c:formatCode>
                <c:ptCount val="5"/>
                <c:pt idx="0">
                  <c:v>45</c:v>
                </c:pt>
                <c:pt idx="1">
                  <c:v>10.757816999999999</c:v>
                </c:pt>
                <c:pt idx="2">
                  <c:v>2.5717919999999999</c:v>
                </c:pt>
                <c:pt idx="3">
                  <c:v>0.614819</c:v>
                </c:pt>
                <c:pt idx="4">
                  <c:v>0.22612299999999999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33-474D-AE68-C6512980C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Volumen de producción (uds)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USD / unidad</a:t>
                </a:r>
              </a:p>
            </c:rich>
          </c:tx>
          <c:layout>
            <c:manualLayout>
              <c:xMode val="edge"/>
              <c:yMode val="edge"/>
              <c:x val="1.4627965906473164E-3"/>
              <c:y val="0.38178988095238098"/>
            </c:manualLayout>
          </c:layout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1181100</xdr:colOff>
      <xdr:row>8</xdr:row>
      <xdr:rowOff>28575</xdr:rowOff>
    </xdr:from>
    <xdr:ext cx="8682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workbookViewId="0">
      <pane ySplit="5" topLeftCell="A57" activePane="bottomLeft" state="frozen"/>
      <selection pane="bottomLeft" activeCell="B65" sqref="B65"/>
    </sheetView>
  </sheetViews>
  <sheetFormatPr baseColWidth="10" defaultColWidth="9.140625" defaultRowHeight="15" x14ac:dyDescent="0.25"/>
  <cols>
    <col min="1" max="1" width="5" customWidth="1"/>
    <col min="2" max="2" width="26" customWidth="1"/>
    <col min="3" max="3" width="18" customWidth="1"/>
    <col min="4" max="4" width="8" customWidth="1"/>
    <col min="5" max="5" width="20" customWidth="1"/>
    <col min="6" max="6" width="15" customWidth="1"/>
    <col min="7" max="7" width="36" customWidth="1"/>
    <col min="8" max="8" width="40" customWidth="1"/>
    <col min="9" max="10" width="14" customWidth="1"/>
    <col min="11" max="11" width="32" customWidth="1"/>
  </cols>
  <sheetData>
    <row r="1" spans="1:11" ht="18" customHeight="1" x14ac:dyDescent="0.25">
      <c r="A1" s="4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ht="24" customHeight="1" x14ac:dyDescent="0.25">
      <c r="A2" s="37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ht="14.1" customHeight="1" x14ac:dyDescent="0.25">
      <c r="A3" s="34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ht="14.1" customHeight="1" x14ac:dyDescent="0.25">
      <c r="A4" s="33" t="s">
        <v>3</v>
      </c>
      <c r="B4" s="31"/>
      <c r="C4" s="31"/>
      <c r="D4" s="31"/>
      <c r="E4" s="31"/>
      <c r="F4" s="38"/>
      <c r="G4" s="31"/>
      <c r="H4" s="31"/>
      <c r="I4" s="31"/>
      <c r="J4" s="31"/>
      <c r="K4" s="31"/>
    </row>
    <row r="5" spans="1:11" ht="30" customHeight="1" x14ac:dyDescent="0.25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</row>
    <row r="6" spans="1:11" x14ac:dyDescent="0.25">
      <c r="A6" s="32" t="s">
        <v>15</v>
      </c>
      <c r="B6" s="31"/>
      <c r="C6" s="31"/>
      <c r="D6" s="31"/>
      <c r="E6" s="31"/>
      <c r="F6" s="31"/>
      <c r="G6" s="31"/>
      <c r="H6" s="31"/>
      <c r="I6" s="31"/>
      <c r="J6" s="31"/>
      <c r="K6" s="31"/>
    </row>
    <row r="7" spans="1:11" ht="24" x14ac:dyDescent="0.25">
      <c r="A7" s="2">
        <v>1</v>
      </c>
      <c r="B7" s="3" t="s">
        <v>16</v>
      </c>
      <c r="C7" s="3" t="s">
        <v>17</v>
      </c>
      <c r="D7" s="2">
        <v>1</v>
      </c>
      <c r="E7" s="3" t="s">
        <v>16</v>
      </c>
      <c r="F7" s="3" t="s">
        <v>18</v>
      </c>
      <c r="G7" s="3" t="s">
        <v>19</v>
      </c>
      <c r="H7" s="3" t="s">
        <v>20</v>
      </c>
      <c r="I7" s="4">
        <v>16.5</v>
      </c>
      <c r="J7" s="4">
        <v>16.5</v>
      </c>
      <c r="K7" s="5" t="s">
        <v>21</v>
      </c>
    </row>
    <row r="8" spans="1:11" ht="24" x14ac:dyDescent="0.25">
      <c r="A8" s="6">
        <v>2</v>
      </c>
      <c r="B8" s="7" t="s">
        <v>22</v>
      </c>
      <c r="C8" s="7" t="s">
        <v>23</v>
      </c>
      <c r="D8" s="6">
        <v>1</v>
      </c>
      <c r="E8" s="7" t="s">
        <v>24</v>
      </c>
      <c r="F8" s="7" t="s">
        <v>25</v>
      </c>
      <c r="G8" s="7" t="s">
        <v>26</v>
      </c>
      <c r="H8" s="7" t="s">
        <v>27</v>
      </c>
      <c r="I8" s="8">
        <v>39.79</v>
      </c>
      <c r="J8" s="8">
        <v>39.79</v>
      </c>
      <c r="K8" s="5" t="s">
        <v>21</v>
      </c>
    </row>
    <row r="9" spans="1:11" ht="24" x14ac:dyDescent="0.25">
      <c r="A9" s="2">
        <v>3</v>
      </c>
      <c r="B9" s="3" t="s">
        <v>28</v>
      </c>
      <c r="C9" s="3" t="s">
        <v>29</v>
      </c>
      <c r="D9" s="2">
        <v>1</v>
      </c>
      <c r="E9" s="3" t="s">
        <v>28</v>
      </c>
      <c r="F9" s="3" t="s">
        <v>30</v>
      </c>
      <c r="G9" s="3" t="s">
        <v>31</v>
      </c>
      <c r="H9" s="3" t="s">
        <v>32</v>
      </c>
      <c r="I9" s="4">
        <v>5.85</v>
      </c>
      <c r="J9" s="4">
        <v>5.85</v>
      </c>
      <c r="K9" s="5" t="s">
        <v>21</v>
      </c>
    </row>
    <row r="10" spans="1:11" ht="24" x14ac:dyDescent="0.25">
      <c r="A10" s="6">
        <v>4</v>
      </c>
      <c r="B10" s="7" t="s">
        <v>33</v>
      </c>
      <c r="C10" s="7" t="s">
        <v>34</v>
      </c>
      <c r="D10" s="6">
        <v>1</v>
      </c>
      <c r="E10" s="7" t="s">
        <v>33</v>
      </c>
      <c r="F10" s="7" t="s">
        <v>35</v>
      </c>
      <c r="G10" s="7" t="s">
        <v>36</v>
      </c>
      <c r="H10" s="7" t="s">
        <v>37</v>
      </c>
      <c r="I10" s="8">
        <v>1.88</v>
      </c>
      <c r="J10" s="8">
        <v>1.88</v>
      </c>
      <c r="K10" s="5" t="s">
        <v>21</v>
      </c>
    </row>
    <row r="11" spans="1:11" x14ac:dyDescent="0.25">
      <c r="A11" s="2">
        <v>5</v>
      </c>
      <c r="B11" s="3" t="s">
        <v>38</v>
      </c>
      <c r="C11" s="3" t="s">
        <v>34</v>
      </c>
      <c r="D11" s="2">
        <v>1</v>
      </c>
      <c r="E11" s="3" t="s">
        <v>38</v>
      </c>
      <c r="F11" s="3" t="s">
        <v>39</v>
      </c>
      <c r="G11" s="3" t="s">
        <v>40</v>
      </c>
      <c r="H11" s="3" t="s">
        <v>41</v>
      </c>
      <c r="I11" s="4">
        <v>2.0299999999999998</v>
      </c>
      <c r="J11" s="4">
        <v>2.0299999999999998</v>
      </c>
      <c r="K11" s="5" t="s">
        <v>21</v>
      </c>
    </row>
    <row r="12" spans="1:11" x14ac:dyDescent="0.25">
      <c r="A12" s="6">
        <v>6</v>
      </c>
      <c r="B12" s="7" t="s">
        <v>42</v>
      </c>
      <c r="C12" s="7" t="s">
        <v>43</v>
      </c>
      <c r="D12" s="6">
        <v>1</v>
      </c>
      <c r="E12" s="7" t="s">
        <v>42</v>
      </c>
      <c r="F12" s="7" t="s">
        <v>44</v>
      </c>
      <c r="G12" s="7" t="s">
        <v>45</v>
      </c>
      <c r="H12" s="7" t="s">
        <v>46</v>
      </c>
      <c r="I12" s="8">
        <v>0.26</v>
      </c>
      <c r="J12" s="8">
        <v>0.26</v>
      </c>
      <c r="K12" s="5" t="s">
        <v>21</v>
      </c>
    </row>
    <row r="13" spans="1:11" ht="24" x14ac:dyDescent="0.25">
      <c r="A13" s="2">
        <v>7</v>
      </c>
      <c r="B13" s="3" t="s">
        <v>47</v>
      </c>
      <c r="C13" s="3" t="s">
        <v>34</v>
      </c>
      <c r="D13" s="2">
        <v>1</v>
      </c>
      <c r="E13" s="3" t="s">
        <v>47</v>
      </c>
      <c r="F13" s="3" t="s">
        <v>48</v>
      </c>
      <c r="G13" s="3" t="s">
        <v>49</v>
      </c>
      <c r="H13" s="3" t="s">
        <v>50</v>
      </c>
      <c r="I13" s="4">
        <v>2.71</v>
      </c>
      <c r="J13" s="4">
        <v>2.71</v>
      </c>
      <c r="K13" s="5" t="s">
        <v>21</v>
      </c>
    </row>
    <row r="14" spans="1:11" ht="24" x14ac:dyDescent="0.25">
      <c r="A14" s="6">
        <v>8</v>
      </c>
      <c r="B14" s="7" t="s">
        <v>51</v>
      </c>
      <c r="C14" s="7" t="s">
        <v>52</v>
      </c>
      <c r="D14" s="6">
        <v>1</v>
      </c>
      <c r="E14" s="7" t="s">
        <v>53</v>
      </c>
      <c r="F14" s="7" t="s">
        <v>54</v>
      </c>
      <c r="G14" s="7" t="s">
        <v>55</v>
      </c>
      <c r="H14" s="7" t="s">
        <v>56</v>
      </c>
      <c r="I14" s="8">
        <v>5.27</v>
      </c>
      <c r="J14" s="8">
        <v>5.27</v>
      </c>
      <c r="K14" s="5" t="s">
        <v>21</v>
      </c>
    </row>
    <row r="15" spans="1:11" x14ac:dyDescent="0.25">
      <c r="A15" s="2">
        <v>9</v>
      </c>
      <c r="B15" s="3" t="s">
        <v>57</v>
      </c>
      <c r="C15" s="3" t="s">
        <v>58</v>
      </c>
      <c r="D15" s="2">
        <v>1</v>
      </c>
      <c r="E15" s="3" t="s">
        <v>57</v>
      </c>
      <c r="F15" s="3" t="s">
        <v>59</v>
      </c>
      <c r="G15" s="3" t="s">
        <v>60</v>
      </c>
      <c r="H15" s="3" t="s">
        <v>61</v>
      </c>
      <c r="I15" s="4">
        <v>15.55</v>
      </c>
      <c r="J15" s="4">
        <v>15.55</v>
      </c>
      <c r="K15" s="5" t="s">
        <v>21</v>
      </c>
    </row>
    <row r="16" spans="1:11" x14ac:dyDescent="0.25">
      <c r="A16" s="6">
        <v>10</v>
      </c>
      <c r="B16" s="7" t="s">
        <v>62</v>
      </c>
      <c r="C16" s="7" t="s">
        <v>63</v>
      </c>
      <c r="D16" s="6">
        <v>1</v>
      </c>
      <c r="E16" s="7" t="s">
        <v>62</v>
      </c>
      <c r="F16" s="7" t="s">
        <v>64</v>
      </c>
      <c r="G16" s="7" t="s">
        <v>65</v>
      </c>
      <c r="H16" s="7" t="s">
        <v>66</v>
      </c>
      <c r="I16" s="8">
        <v>7.0000000000000007E-2</v>
      </c>
      <c r="J16" s="8">
        <v>7.0000000000000007E-2</v>
      </c>
      <c r="K16" s="5" t="s">
        <v>21</v>
      </c>
    </row>
    <row r="17" spans="1:11" ht="24" x14ac:dyDescent="0.25">
      <c r="A17" s="2">
        <v>11</v>
      </c>
      <c r="B17" s="3" t="s">
        <v>67</v>
      </c>
      <c r="C17" s="3" t="s">
        <v>58</v>
      </c>
      <c r="D17" s="2">
        <v>13</v>
      </c>
      <c r="E17" s="3" t="s">
        <v>68</v>
      </c>
      <c r="F17" s="3" t="s">
        <v>69</v>
      </c>
      <c r="G17" s="3" t="s">
        <v>70</v>
      </c>
      <c r="H17" s="3" t="s">
        <v>71</v>
      </c>
      <c r="I17" s="4">
        <v>0.188</v>
      </c>
      <c r="J17" s="4">
        <v>2.444</v>
      </c>
      <c r="K17" s="5" t="s">
        <v>21</v>
      </c>
    </row>
    <row r="18" spans="1:11" x14ac:dyDescent="0.25">
      <c r="A18" s="6">
        <v>12</v>
      </c>
      <c r="B18" s="7" t="s">
        <v>72</v>
      </c>
      <c r="C18" s="7" t="s">
        <v>73</v>
      </c>
      <c r="D18" s="6">
        <v>69</v>
      </c>
      <c r="E18" s="7" t="s">
        <v>74</v>
      </c>
      <c r="F18" s="7" t="s">
        <v>75</v>
      </c>
      <c r="G18" s="7" t="s">
        <v>76</v>
      </c>
      <c r="H18" s="7" t="s">
        <v>77</v>
      </c>
      <c r="I18" s="8">
        <v>4.9000000000000002E-2</v>
      </c>
      <c r="J18" s="8">
        <v>3.3809999999999998</v>
      </c>
      <c r="K18" s="5" t="s">
        <v>21</v>
      </c>
    </row>
    <row r="19" spans="1:11" ht="24" x14ac:dyDescent="0.25">
      <c r="A19" s="2">
        <v>13</v>
      </c>
      <c r="B19" s="3" t="s">
        <v>78</v>
      </c>
      <c r="C19" s="3" t="s">
        <v>58</v>
      </c>
      <c r="D19" s="2">
        <v>8</v>
      </c>
      <c r="E19" s="3" t="s">
        <v>78</v>
      </c>
      <c r="F19" s="3" t="s">
        <v>79</v>
      </c>
      <c r="G19" s="3" t="s">
        <v>80</v>
      </c>
      <c r="H19" s="3" t="s">
        <v>81</v>
      </c>
      <c r="I19" s="4">
        <v>3.3000000000000002E-2</v>
      </c>
      <c r="J19" s="4">
        <v>0.26400000000000001</v>
      </c>
      <c r="K19" s="5" t="s">
        <v>21</v>
      </c>
    </row>
    <row r="20" spans="1:11" x14ac:dyDescent="0.25">
      <c r="A20" s="6">
        <v>14</v>
      </c>
      <c r="B20" s="7" t="s">
        <v>82</v>
      </c>
      <c r="C20" s="7" t="s">
        <v>73</v>
      </c>
      <c r="D20" s="6">
        <v>2</v>
      </c>
      <c r="E20" s="7" t="s">
        <v>82</v>
      </c>
      <c r="F20" s="7" t="s">
        <v>83</v>
      </c>
      <c r="G20" s="7" t="s">
        <v>84</v>
      </c>
      <c r="H20" s="7" t="s">
        <v>85</v>
      </c>
      <c r="I20" s="8">
        <v>0.217</v>
      </c>
      <c r="J20" s="8">
        <v>0.434</v>
      </c>
      <c r="K20" s="5" t="s">
        <v>21</v>
      </c>
    </row>
    <row r="21" spans="1:11" x14ac:dyDescent="0.25">
      <c r="A21" s="2">
        <v>15</v>
      </c>
      <c r="B21" s="3" t="s">
        <v>86</v>
      </c>
      <c r="C21" s="3" t="s">
        <v>87</v>
      </c>
      <c r="D21" s="2">
        <v>3</v>
      </c>
      <c r="E21" s="3" t="s">
        <v>86</v>
      </c>
      <c r="F21" s="3" t="s">
        <v>88</v>
      </c>
      <c r="G21" s="3" t="s">
        <v>89</v>
      </c>
      <c r="H21" s="3" t="s">
        <v>90</v>
      </c>
      <c r="I21" s="4">
        <v>0.12</v>
      </c>
      <c r="J21" s="4">
        <v>0.36</v>
      </c>
      <c r="K21" s="5" t="s">
        <v>21</v>
      </c>
    </row>
    <row r="22" spans="1:11" ht="24" x14ac:dyDescent="0.25">
      <c r="A22" s="6">
        <v>16</v>
      </c>
      <c r="B22" s="7" t="s">
        <v>91</v>
      </c>
      <c r="C22" s="7" t="s">
        <v>58</v>
      </c>
      <c r="D22" s="6">
        <v>9</v>
      </c>
      <c r="E22" s="7" t="s">
        <v>92</v>
      </c>
      <c r="F22" s="7" t="s">
        <v>93</v>
      </c>
      <c r="G22" s="7" t="s">
        <v>94</v>
      </c>
      <c r="H22" s="7" t="s">
        <v>27</v>
      </c>
      <c r="I22" s="8">
        <v>0.11799999999999999</v>
      </c>
      <c r="J22" s="8">
        <v>1.0620000000000001</v>
      </c>
      <c r="K22" s="5" t="s">
        <v>21</v>
      </c>
    </row>
    <row r="23" spans="1:11" ht="24" x14ac:dyDescent="0.25">
      <c r="A23" s="2">
        <v>17</v>
      </c>
      <c r="B23" s="3" t="s">
        <v>95</v>
      </c>
      <c r="C23" s="3" t="s">
        <v>58</v>
      </c>
      <c r="D23" s="2">
        <v>12</v>
      </c>
      <c r="E23" s="3" t="s">
        <v>96</v>
      </c>
      <c r="F23" s="3" t="s">
        <v>97</v>
      </c>
      <c r="G23" s="3" t="s">
        <v>98</v>
      </c>
      <c r="H23" s="3" t="s">
        <v>27</v>
      </c>
      <c r="I23" s="4">
        <v>8.7999999999999995E-2</v>
      </c>
      <c r="J23" s="4">
        <v>1.056</v>
      </c>
      <c r="K23" s="5" t="s">
        <v>21</v>
      </c>
    </row>
    <row r="24" spans="1:11" ht="24" x14ac:dyDescent="0.25">
      <c r="A24" s="6">
        <v>18</v>
      </c>
      <c r="B24" s="7" t="s">
        <v>99</v>
      </c>
      <c r="C24" s="7" t="s">
        <v>58</v>
      </c>
      <c r="D24" s="6">
        <v>1</v>
      </c>
      <c r="E24" s="7" t="s">
        <v>99</v>
      </c>
      <c r="F24" s="7" t="s">
        <v>100</v>
      </c>
      <c r="G24" s="7" t="s">
        <v>101</v>
      </c>
      <c r="H24" s="7" t="s">
        <v>102</v>
      </c>
      <c r="I24" s="8">
        <v>0.27</v>
      </c>
      <c r="J24" s="8">
        <v>0.27</v>
      </c>
      <c r="K24" s="5" t="s">
        <v>21</v>
      </c>
    </row>
    <row r="25" spans="1:11" ht="24" x14ac:dyDescent="0.25">
      <c r="A25" s="2">
        <v>19</v>
      </c>
      <c r="B25" s="3" t="s">
        <v>103</v>
      </c>
      <c r="C25" s="3" t="s">
        <v>58</v>
      </c>
      <c r="D25" s="2">
        <v>2</v>
      </c>
      <c r="E25" s="3" t="s">
        <v>104</v>
      </c>
      <c r="F25" s="3" t="s">
        <v>105</v>
      </c>
      <c r="G25" s="3" t="s">
        <v>106</v>
      </c>
      <c r="H25" s="3" t="s">
        <v>27</v>
      </c>
      <c r="I25" s="4">
        <v>0.1</v>
      </c>
      <c r="J25" s="4">
        <v>0.2</v>
      </c>
      <c r="K25" s="5" t="s">
        <v>21</v>
      </c>
    </row>
    <row r="26" spans="1:11" ht="24" x14ac:dyDescent="0.25">
      <c r="A26" s="6">
        <v>20</v>
      </c>
      <c r="B26" s="7" t="s">
        <v>107</v>
      </c>
      <c r="C26" s="7" t="s">
        <v>58</v>
      </c>
      <c r="D26" s="6">
        <v>2</v>
      </c>
      <c r="E26" s="7" t="s">
        <v>108</v>
      </c>
      <c r="F26" s="7" t="s">
        <v>109</v>
      </c>
      <c r="G26" s="7" t="s">
        <v>110</v>
      </c>
      <c r="H26" s="7" t="s">
        <v>90</v>
      </c>
      <c r="I26" s="8">
        <v>4.4999999999999997E-3</v>
      </c>
      <c r="J26" s="8">
        <v>8.9999999999999993E-3</v>
      </c>
      <c r="K26" s="5" t="s">
        <v>21</v>
      </c>
    </row>
    <row r="27" spans="1:11" x14ac:dyDescent="0.25">
      <c r="A27" s="2">
        <v>21</v>
      </c>
      <c r="B27" s="3" t="s">
        <v>111</v>
      </c>
      <c r="C27" s="3" t="s">
        <v>73</v>
      </c>
      <c r="D27" s="2">
        <v>1</v>
      </c>
      <c r="E27" s="3" t="s">
        <v>111</v>
      </c>
      <c r="F27" s="3" t="s">
        <v>112</v>
      </c>
      <c r="G27" s="3" t="s">
        <v>113</v>
      </c>
      <c r="H27" s="3" t="s">
        <v>90</v>
      </c>
      <c r="I27" s="4">
        <v>6.0000000000000001E-3</v>
      </c>
      <c r="J27" s="4">
        <v>6.0000000000000001E-3</v>
      </c>
      <c r="K27" s="5" t="s">
        <v>21</v>
      </c>
    </row>
    <row r="28" spans="1:11" ht="24" x14ac:dyDescent="0.25">
      <c r="A28" s="6">
        <v>22</v>
      </c>
      <c r="B28" s="7" t="s">
        <v>114</v>
      </c>
      <c r="C28" s="7" t="s">
        <v>58</v>
      </c>
      <c r="D28" s="6">
        <v>2</v>
      </c>
      <c r="E28" s="7" t="s">
        <v>115</v>
      </c>
      <c r="F28" s="7" t="s">
        <v>116</v>
      </c>
      <c r="G28" s="7" t="s">
        <v>117</v>
      </c>
      <c r="H28" s="7" t="s">
        <v>102</v>
      </c>
      <c r="I28" s="8">
        <v>0.14000000000000001</v>
      </c>
      <c r="J28" s="8">
        <v>0.28000000000000003</v>
      </c>
      <c r="K28" s="5" t="s">
        <v>21</v>
      </c>
    </row>
    <row r="29" spans="1:11" ht="24" x14ac:dyDescent="0.25">
      <c r="A29" s="2">
        <v>23</v>
      </c>
      <c r="B29" s="3" t="s">
        <v>118</v>
      </c>
      <c r="C29" s="3" t="s">
        <v>87</v>
      </c>
      <c r="D29" s="2">
        <v>5</v>
      </c>
      <c r="E29" s="3" t="s">
        <v>119</v>
      </c>
      <c r="F29" s="3" t="s">
        <v>120</v>
      </c>
      <c r="G29" s="3" t="s">
        <v>121</v>
      </c>
      <c r="H29" s="3" t="s">
        <v>90</v>
      </c>
      <c r="I29" s="4">
        <v>1.2E-2</v>
      </c>
      <c r="J29" s="4">
        <v>0.06</v>
      </c>
      <c r="K29" s="5" t="s">
        <v>21</v>
      </c>
    </row>
    <row r="30" spans="1:11" ht="24" x14ac:dyDescent="0.25">
      <c r="A30" s="6">
        <v>24</v>
      </c>
      <c r="B30" s="7" t="s">
        <v>122</v>
      </c>
      <c r="C30" s="7" t="s">
        <v>87</v>
      </c>
      <c r="D30" s="6">
        <v>4</v>
      </c>
      <c r="E30" s="7" t="s">
        <v>123</v>
      </c>
      <c r="F30" s="7" t="s">
        <v>124</v>
      </c>
      <c r="G30" s="7" t="s">
        <v>125</v>
      </c>
      <c r="H30" s="7" t="s">
        <v>90</v>
      </c>
      <c r="I30" s="8">
        <v>7.4999999999999997E-2</v>
      </c>
      <c r="J30" s="8">
        <v>0.3</v>
      </c>
      <c r="K30" s="5" t="s">
        <v>21</v>
      </c>
    </row>
    <row r="31" spans="1:11" ht="24" x14ac:dyDescent="0.25">
      <c r="A31" s="2">
        <v>25</v>
      </c>
      <c r="B31" s="3" t="s">
        <v>126</v>
      </c>
      <c r="C31" s="3" t="s">
        <v>127</v>
      </c>
      <c r="D31" s="2">
        <v>2</v>
      </c>
      <c r="E31" s="3" t="s">
        <v>128</v>
      </c>
      <c r="F31" s="3" t="s">
        <v>129</v>
      </c>
      <c r="G31" s="3" t="s">
        <v>130</v>
      </c>
      <c r="H31" s="3" t="s">
        <v>90</v>
      </c>
      <c r="I31" s="4">
        <v>3.9E-2</v>
      </c>
      <c r="J31" s="4">
        <v>7.8E-2</v>
      </c>
      <c r="K31" s="5" t="s">
        <v>21</v>
      </c>
    </row>
    <row r="32" spans="1:11" ht="24" x14ac:dyDescent="0.25">
      <c r="A32" s="6">
        <v>26</v>
      </c>
      <c r="B32" s="7" t="s">
        <v>131</v>
      </c>
      <c r="C32" s="7" t="s">
        <v>132</v>
      </c>
      <c r="D32" s="6">
        <v>4</v>
      </c>
      <c r="E32" s="7" t="s">
        <v>133</v>
      </c>
      <c r="F32" s="7" t="s">
        <v>134</v>
      </c>
      <c r="G32" s="7" t="s">
        <v>135</v>
      </c>
      <c r="H32" s="7" t="s">
        <v>136</v>
      </c>
      <c r="I32" s="8">
        <v>6.9000000000000006E-2</v>
      </c>
      <c r="J32" s="8">
        <v>0.27600000000000002</v>
      </c>
      <c r="K32" s="5" t="s">
        <v>21</v>
      </c>
    </row>
    <row r="33" spans="1:11" x14ac:dyDescent="0.25">
      <c r="A33" s="2">
        <v>27</v>
      </c>
      <c r="B33" s="3" t="s">
        <v>137</v>
      </c>
      <c r="C33" s="3" t="s">
        <v>138</v>
      </c>
      <c r="D33" s="2">
        <v>1</v>
      </c>
      <c r="E33" s="3" t="s">
        <v>139</v>
      </c>
      <c r="F33" s="3" t="s">
        <v>140</v>
      </c>
      <c r="G33" s="3" t="s">
        <v>141</v>
      </c>
      <c r="H33" s="3" t="s">
        <v>136</v>
      </c>
      <c r="I33" s="4">
        <v>2E-3</v>
      </c>
      <c r="J33" s="4">
        <v>2E-3</v>
      </c>
      <c r="K33" s="5" t="s">
        <v>21</v>
      </c>
    </row>
    <row r="34" spans="1:11" ht="24" x14ac:dyDescent="0.25">
      <c r="A34" s="6">
        <v>28</v>
      </c>
      <c r="B34" s="7" t="s">
        <v>142</v>
      </c>
      <c r="C34" s="7" t="s">
        <v>73</v>
      </c>
      <c r="D34" s="6">
        <v>5</v>
      </c>
      <c r="E34" s="7" t="s">
        <v>142</v>
      </c>
      <c r="F34" s="7" t="s">
        <v>143</v>
      </c>
      <c r="G34" s="7" t="s">
        <v>144</v>
      </c>
      <c r="H34" s="7" t="s">
        <v>90</v>
      </c>
      <c r="I34" s="8">
        <v>3.2000000000000001E-2</v>
      </c>
      <c r="J34" s="8">
        <v>0.16</v>
      </c>
      <c r="K34" s="5" t="s">
        <v>21</v>
      </c>
    </row>
    <row r="35" spans="1:11" ht="24" x14ac:dyDescent="0.25">
      <c r="A35" s="2">
        <v>29</v>
      </c>
      <c r="B35" s="3" t="s">
        <v>145</v>
      </c>
      <c r="C35" s="3" t="s">
        <v>73</v>
      </c>
      <c r="D35" s="2">
        <v>4</v>
      </c>
      <c r="E35" s="3" t="s">
        <v>145</v>
      </c>
      <c r="F35" s="3" t="s">
        <v>146</v>
      </c>
      <c r="G35" s="3" t="s">
        <v>147</v>
      </c>
      <c r="H35" s="3" t="s">
        <v>136</v>
      </c>
      <c r="I35" s="4">
        <v>0.02</v>
      </c>
      <c r="J35" s="4">
        <v>0.08</v>
      </c>
      <c r="K35" s="5" t="s">
        <v>21</v>
      </c>
    </row>
    <row r="36" spans="1:11" x14ac:dyDescent="0.25">
      <c r="A36" s="6">
        <v>30</v>
      </c>
      <c r="B36" s="7" t="s">
        <v>148</v>
      </c>
      <c r="C36" s="7" t="s">
        <v>87</v>
      </c>
      <c r="D36" s="6">
        <v>4</v>
      </c>
      <c r="E36" s="7" t="s">
        <v>148</v>
      </c>
      <c r="F36" s="7" t="s">
        <v>149</v>
      </c>
      <c r="G36" s="7" t="s">
        <v>150</v>
      </c>
      <c r="H36" s="7" t="s">
        <v>151</v>
      </c>
      <c r="I36" s="8">
        <v>0.1</v>
      </c>
      <c r="J36" s="8">
        <v>0.4</v>
      </c>
      <c r="K36" s="5" t="s">
        <v>21</v>
      </c>
    </row>
    <row r="37" spans="1:11" x14ac:dyDescent="0.25">
      <c r="A37" s="2">
        <v>31</v>
      </c>
      <c r="B37" s="3" t="s">
        <v>152</v>
      </c>
      <c r="C37" s="3" t="s">
        <v>153</v>
      </c>
      <c r="D37" s="2">
        <v>10</v>
      </c>
      <c r="E37" s="3" t="s">
        <v>152</v>
      </c>
      <c r="F37" s="3" t="s">
        <v>154</v>
      </c>
      <c r="G37" s="3" t="s">
        <v>155</v>
      </c>
      <c r="H37" s="3" t="s">
        <v>90</v>
      </c>
      <c r="I37" s="4">
        <v>0.02</v>
      </c>
      <c r="J37" s="4">
        <v>0.2</v>
      </c>
      <c r="K37" s="5" t="s">
        <v>21</v>
      </c>
    </row>
    <row r="38" spans="1:11" ht="24" x14ac:dyDescent="0.25">
      <c r="A38" s="6">
        <v>32</v>
      </c>
      <c r="B38" s="7" t="s">
        <v>156</v>
      </c>
      <c r="C38" s="7" t="s">
        <v>157</v>
      </c>
      <c r="D38" s="6">
        <v>1</v>
      </c>
      <c r="E38" s="7" t="s">
        <v>156</v>
      </c>
      <c r="F38" s="7" t="s">
        <v>158</v>
      </c>
      <c r="G38" s="7" t="s">
        <v>159</v>
      </c>
      <c r="H38" s="7" t="s">
        <v>160</v>
      </c>
      <c r="I38" s="8">
        <v>0.11</v>
      </c>
      <c r="J38" s="8">
        <v>0.11</v>
      </c>
      <c r="K38" s="5" t="s">
        <v>21</v>
      </c>
    </row>
    <row r="39" spans="1:11" x14ac:dyDescent="0.25">
      <c r="A39" s="2">
        <v>33</v>
      </c>
      <c r="B39" s="3" t="s">
        <v>161</v>
      </c>
      <c r="C39" s="3" t="s">
        <v>157</v>
      </c>
      <c r="D39" s="2">
        <v>1</v>
      </c>
      <c r="E39" s="3" t="s">
        <v>161</v>
      </c>
      <c r="F39" s="3" t="s">
        <v>162</v>
      </c>
      <c r="G39" s="3" t="s">
        <v>163</v>
      </c>
      <c r="H39" s="3" t="s">
        <v>90</v>
      </c>
      <c r="I39" s="4">
        <v>8.9999999999999998E-4</v>
      </c>
      <c r="J39" s="4">
        <v>8.9999999999999998E-4</v>
      </c>
      <c r="K39" s="5" t="s">
        <v>21</v>
      </c>
    </row>
    <row r="40" spans="1:11" x14ac:dyDescent="0.25">
      <c r="A40" s="6">
        <v>34</v>
      </c>
      <c r="B40" s="7" t="s">
        <v>164</v>
      </c>
      <c r="C40" s="7" t="s">
        <v>157</v>
      </c>
      <c r="D40" s="6">
        <v>1</v>
      </c>
      <c r="E40" s="7" t="s">
        <v>164</v>
      </c>
      <c r="F40" s="7" t="s">
        <v>165</v>
      </c>
      <c r="G40" s="7" t="s">
        <v>166</v>
      </c>
      <c r="H40" s="7" t="s">
        <v>136</v>
      </c>
      <c r="I40" s="8">
        <v>3.0000000000000001E-3</v>
      </c>
      <c r="J40" s="8">
        <v>3.0000000000000001E-3</v>
      </c>
      <c r="K40" s="5" t="s">
        <v>21</v>
      </c>
    </row>
    <row r="41" spans="1:11" x14ac:dyDescent="0.25">
      <c r="A41" s="2">
        <v>35</v>
      </c>
      <c r="B41" s="3" t="s">
        <v>167</v>
      </c>
      <c r="C41" s="3" t="s">
        <v>168</v>
      </c>
      <c r="D41" s="2">
        <v>1</v>
      </c>
      <c r="E41" s="3" t="s">
        <v>167</v>
      </c>
      <c r="F41" s="3" t="s">
        <v>169</v>
      </c>
      <c r="G41" s="3" t="s">
        <v>170</v>
      </c>
      <c r="H41" s="3" t="s">
        <v>171</v>
      </c>
      <c r="I41" s="4">
        <v>0.23</v>
      </c>
      <c r="J41" s="4">
        <v>0.23</v>
      </c>
      <c r="K41" s="5" t="s">
        <v>21</v>
      </c>
    </row>
    <row r="42" spans="1:11" ht="24" x14ac:dyDescent="0.25">
      <c r="A42" s="6">
        <v>36</v>
      </c>
      <c r="B42" s="7" t="s">
        <v>172</v>
      </c>
      <c r="C42" s="7" t="s">
        <v>173</v>
      </c>
      <c r="D42" s="6">
        <v>6</v>
      </c>
      <c r="E42" s="7" t="s">
        <v>172</v>
      </c>
      <c r="F42" s="7" t="s">
        <v>174</v>
      </c>
      <c r="G42" s="7" t="s">
        <v>175</v>
      </c>
      <c r="H42" s="7" t="s">
        <v>90</v>
      </c>
      <c r="I42" s="8">
        <v>5.0000000000000001E-3</v>
      </c>
      <c r="J42" s="8">
        <v>0.03</v>
      </c>
      <c r="K42" s="5" t="s">
        <v>21</v>
      </c>
    </row>
    <row r="43" spans="1:11" x14ac:dyDescent="0.25">
      <c r="A43" s="2">
        <v>37</v>
      </c>
      <c r="B43" s="3" t="s">
        <v>176</v>
      </c>
      <c r="C43" s="3" t="s">
        <v>177</v>
      </c>
      <c r="D43" s="2">
        <v>1</v>
      </c>
      <c r="E43" s="3" t="s">
        <v>178</v>
      </c>
      <c r="F43" s="3" t="s">
        <v>179</v>
      </c>
      <c r="G43" s="3" t="s">
        <v>180</v>
      </c>
      <c r="H43" s="3" t="s">
        <v>181</v>
      </c>
      <c r="I43" s="4">
        <v>2.1000000000000001E-2</v>
      </c>
      <c r="J43" s="4">
        <v>2.1000000000000001E-2</v>
      </c>
      <c r="K43" s="5" t="s">
        <v>21</v>
      </c>
    </row>
    <row r="44" spans="1:11" x14ac:dyDescent="0.25">
      <c r="A44" s="6">
        <v>38</v>
      </c>
      <c r="B44" s="7" t="s">
        <v>182</v>
      </c>
      <c r="C44" s="7" t="s">
        <v>177</v>
      </c>
      <c r="D44" s="6">
        <v>1</v>
      </c>
      <c r="E44" s="7" t="s">
        <v>183</v>
      </c>
      <c r="F44" s="7" t="s">
        <v>184</v>
      </c>
      <c r="G44" s="7" t="s">
        <v>185</v>
      </c>
      <c r="H44" s="7" t="s">
        <v>186</v>
      </c>
      <c r="I44" s="8">
        <v>1E-3</v>
      </c>
      <c r="J44" s="8">
        <v>1E-3</v>
      </c>
      <c r="K44" s="5" t="s">
        <v>21</v>
      </c>
    </row>
    <row r="45" spans="1:11" x14ac:dyDescent="0.25">
      <c r="A45" s="2">
        <v>39</v>
      </c>
      <c r="B45" s="3" t="s">
        <v>187</v>
      </c>
      <c r="C45" s="3" t="s">
        <v>188</v>
      </c>
      <c r="D45" s="2">
        <v>1</v>
      </c>
      <c r="E45" s="3" t="s">
        <v>187</v>
      </c>
      <c r="F45" s="3" t="s">
        <v>189</v>
      </c>
      <c r="G45" s="3" t="s">
        <v>190</v>
      </c>
      <c r="H45" s="3" t="s">
        <v>191</v>
      </c>
      <c r="I45" s="4">
        <v>2.23</v>
      </c>
      <c r="J45" s="4">
        <v>2.23</v>
      </c>
      <c r="K45" s="5" t="s">
        <v>21</v>
      </c>
    </row>
    <row r="46" spans="1:11" x14ac:dyDescent="0.25">
      <c r="A46" s="6">
        <v>40</v>
      </c>
      <c r="B46" s="7" t="s">
        <v>192</v>
      </c>
      <c r="C46" s="7" t="s">
        <v>58</v>
      </c>
      <c r="D46" s="6">
        <v>2</v>
      </c>
      <c r="E46" s="7" t="s">
        <v>192</v>
      </c>
      <c r="F46" s="7" t="s">
        <v>193</v>
      </c>
      <c r="G46" s="7" t="s">
        <v>194</v>
      </c>
      <c r="H46" s="7" t="s">
        <v>90</v>
      </c>
      <c r="I46" s="8">
        <v>1.26</v>
      </c>
      <c r="J46" s="8">
        <v>2.52</v>
      </c>
      <c r="K46" s="5" t="s">
        <v>21</v>
      </c>
    </row>
    <row r="47" spans="1:11" x14ac:dyDescent="0.25">
      <c r="A47" s="2">
        <v>41</v>
      </c>
      <c r="B47" s="3" t="s">
        <v>195</v>
      </c>
      <c r="C47" s="3" t="s">
        <v>188</v>
      </c>
      <c r="D47" s="2">
        <v>2</v>
      </c>
      <c r="E47" s="3" t="s">
        <v>195</v>
      </c>
      <c r="F47" s="3" t="s">
        <v>196</v>
      </c>
      <c r="G47" s="3" t="s">
        <v>197</v>
      </c>
      <c r="H47" s="3" t="s">
        <v>198</v>
      </c>
      <c r="I47" s="4">
        <v>1.26</v>
      </c>
      <c r="J47" s="4">
        <v>2.52</v>
      </c>
      <c r="K47" s="5" t="s">
        <v>21</v>
      </c>
    </row>
    <row r="48" spans="1:11" x14ac:dyDescent="0.25">
      <c r="A48" s="6">
        <v>42</v>
      </c>
      <c r="B48" s="7" t="s">
        <v>199</v>
      </c>
      <c r="C48" s="7" t="s">
        <v>58</v>
      </c>
      <c r="D48" s="6">
        <v>4</v>
      </c>
      <c r="E48" s="7" t="s">
        <v>199</v>
      </c>
      <c r="F48" s="7" t="s">
        <v>200</v>
      </c>
      <c r="G48" s="7" t="s">
        <v>201</v>
      </c>
      <c r="H48" s="7" t="s">
        <v>202</v>
      </c>
      <c r="I48" s="8">
        <v>0.1</v>
      </c>
      <c r="J48" s="8">
        <v>0.4</v>
      </c>
      <c r="K48" s="5" t="s">
        <v>21</v>
      </c>
    </row>
    <row r="49" spans="1:11" x14ac:dyDescent="0.25">
      <c r="A49" s="2">
        <v>43</v>
      </c>
      <c r="B49" s="3" t="s">
        <v>203</v>
      </c>
      <c r="C49" s="3" t="s">
        <v>204</v>
      </c>
      <c r="D49" s="2">
        <v>1</v>
      </c>
      <c r="E49" s="3" t="s">
        <v>203</v>
      </c>
      <c r="F49" s="3" t="s">
        <v>205</v>
      </c>
      <c r="G49" s="3" t="s">
        <v>206</v>
      </c>
      <c r="H49" s="3" t="s">
        <v>207</v>
      </c>
      <c r="I49" s="4">
        <v>1.01</v>
      </c>
      <c r="J49" s="4">
        <v>1.01</v>
      </c>
      <c r="K49" s="5" t="s">
        <v>21</v>
      </c>
    </row>
    <row r="50" spans="1:11" x14ac:dyDescent="0.25">
      <c r="A50" s="6">
        <v>44</v>
      </c>
      <c r="B50" s="7" t="s">
        <v>208</v>
      </c>
      <c r="C50" s="7" t="s">
        <v>204</v>
      </c>
      <c r="D50" s="6">
        <v>1</v>
      </c>
      <c r="E50" s="7" t="s">
        <v>208</v>
      </c>
      <c r="F50" s="7" t="s">
        <v>209</v>
      </c>
      <c r="G50" s="7" t="s">
        <v>210</v>
      </c>
      <c r="H50" s="7" t="s">
        <v>211</v>
      </c>
      <c r="I50" s="8">
        <v>1.56</v>
      </c>
      <c r="J50" s="8">
        <v>1.56</v>
      </c>
      <c r="K50" s="5" t="s">
        <v>21</v>
      </c>
    </row>
    <row r="51" spans="1:11" x14ac:dyDescent="0.25">
      <c r="A51" s="2">
        <v>45</v>
      </c>
      <c r="B51" s="3" t="s">
        <v>212</v>
      </c>
      <c r="C51" s="3" t="s">
        <v>213</v>
      </c>
      <c r="D51" s="2">
        <v>1</v>
      </c>
      <c r="E51" s="3" t="s">
        <v>212</v>
      </c>
      <c r="F51" s="3" t="s">
        <v>214</v>
      </c>
      <c r="G51" s="3" t="s">
        <v>215</v>
      </c>
      <c r="H51" s="3" t="s">
        <v>216</v>
      </c>
      <c r="I51" s="4">
        <v>0.1</v>
      </c>
      <c r="J51" s="4">
        <v>0.1</v>
      </c>
      <c r="K51" s="5" t="s">
        <v>21</v>
      </c>
    </row>
    <row r="52" spans="1:11" x14ac:dyDescent="0.25">
      <c r="A52" s="6">
        <v>46</v>
      </c>
      <c r="B52" s="7" t="s">
        <v>217</v>
      </c>
      <c r="C52" s="7" t="s">
        <v>218</v>
      </c>
      <c r="D52" s="6">
        <v>2</v>
      </c>
      <c r="E52" s="7" t="s">
        <v>217</v>
      </c>
      <c r="F52" s="7" t="s">
        <v>219</v>
      </c>
      <c r="G52" s="7" t="s">
        <v>220</v>
      </c>
      <c r="H52" s="7" t="s">
        <v>136</v>
      </c>
      <c r="I52" s="8">
        <v>0.186</v>
      </c>
      <c r="J52" s="8">
        <v>0.372</v>
      </c>
      <c r="K52" s="5" t="s">
        <v>21</v>
      </c>
    </row>
    <row r="53" spans="1:11" ht="24" x14ac:dyDescent="0.25">
      <c r="A53" s="2">
        <v>47</v>
      </c>
      <c r="B53" s="3" t="s">
        <v>221</v>
      </c>
      <c r="C53" s="3" t="s">
        <v>222</v>
      </c>
      <c r="D53" s="2">
        <v>1</v>
      </c>
      <c r="E53" s="3" t="s">
        <v>223</v>
      </c>
      <c r="F53" s="3" t="s">
        <v>224</v>
      </c>
      <c r="G53" s="3" t="s">
        <v>225</v>
      </c>
      <c r="H53" s="3" t="s">
        <v>90</v>
      </c>
      <c r="I53" s="4">
        <v>0.28199999999999997</v>
      </c>
      <c r="J53" s="4">
        <v>0.28199999999999997</v>
      </c>
      <c r="K53" s="5" t="s">
        <v>21</v>
      </c>
    </row>
    <row r="54" spans="1:11" ht="24" x14ac:dyDescent="0.25">
      <c r="A54" s="6">
        <v>48</v>
      </c>
      <c r="B54" s="7" t="s">
        <v>226</v>
      </c>
      <c r="C54" s="7" t="s">
        <v>227</v>
      </c>
      <c r="D54" s="6">
        <v>1</v>
      </c>
      <c r="E54" s="7" t="s">
        <v>226</v>
      </c>
      <c r="F54" s="7" t="s">
        <v>228</v>
      </c>
      <c r="G54" s="7" t="s">
        <v>229</v>
      </c>
      <c r="H54" s="7" t="s">
        <v>230</v>
      </c>
      <c r="I54" s="8">
        <v>1.38</v>
      </c>
      <c r="J54" s="8">
        <v>1.38</v>
      </c>
      <c r="K54" s="5" t="s">
        <v>21</v>
      </c>
    </row>
    <row r="55" spans="1:11" x14ac:dyDescent="0.25">
      <c r="A55" s="35" t="s">
        <v>231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</row>
    <row r="56" spans="1:11" ht="24" x14ac:dyDescent="0.25">
      <c r="A56" s="9">
        <v>1</v>
      </c>
      <c r="B56" s="10" t="s">
        <v>232</v>
      </c>
      <c r="C56" s="10" t="s">
        <v>233</v>
      </c>
      <c r="D56" s="9">
        <v>1</v>
      </c>
      <c r="E56" s="10" t="s">
        <v>232</v>
      </c>
      <c r="F56" s="10" t="s">
        <v>234</v>
      </c>
      <c r="G56" s="10" t="s">
        <v>235</v>
      </c>
      <c r="H56" s="10" t="s">
        <v>236</v>
      </c>
      <c r="I56" s="11" t="s">
        <v>236</v>
      </c>
      <c r="J56" s="9" t="s">
        <v>237</v>
      </c>
      <c r="K56" s="12" t="s">
        <v>238</v>
      </c>
    </row>
    <row r="57" spans="1:11" ht="24" x14ac:dyDescent="0.25">
      <c r="A57" s="13">
        <v>2</v>
      </c>
      <c r="B57" s="14" t="s">
        <v>239</v>
      </c>
      <c r="C57" s="14" t="s">
        <v>73</v>
      </c>
      <c r="D57" s="13">
        <v>1</v>
      </c>
      <c r="E57" s="14" t="s">
        <v>240</v>
      </c>
      <c r="F57" s="14" t="s">
        <v>241</v>
      </c>
      <c r="G57" s="14" t="s">
        <v>242</v>
      </c>
      <c r="H57" s="14" t="s">
        <v>236</v>
      </c>
      <c r="I57" s="15" t="s">
        <v>236</v>
      </c>
      <c r="J57" s="13" t="s">
        <v>237</v>
      </c>
      <c r="K57" s="12" t="s">
        <v>238</v>
      </c>
    </row>
    <row r="58" spans="1:11" ht="24" x14ac:dyDescent="0.25">
      <c r="A58" s="9">
        <v>3</v>
      </c>
      <c r="B58" s="10" t="s">
        <v>243</v>
      </c>
      <c r="C58" s="10" t="s">
        <v>87</v>
      </c>
      <c r="D58" s="9">
        <v>4</v>
      </c>
      <c r="E58" s="10" t="s">
        <v>244</v>
      </c>
      <c r="F58" s="10" t="s">
        <v>245</v>
      </c>
      <c r="G58" s="10" t="s">
        <v>246</v>
      </c>
      <c r="H58" s="10" t="s">
        <v>236</v>
      </c>
      <c r="I58" s="11" t="s">
        <v>236</v>
      </c>
      <c r="J58" s="9" t="s">
        <v>237</v>
      </c>
      <c r="K58" s="12" t="s">
        <v>238</v>
      </c>
    </row>
    <row r="59" spans="1:11" ht="24" x14ac:dyDescent="0.25">
      <c r="A59" s="13">
        <v>4</v>
      </c>
      <c r="B59" s="14" t="s">
        <v>247</v>
      </c>
      <c r="C59" s="14" t="s">
        <v>87</v>
      </c>
      <c r="D59" s="13">
        <v>1</v>
      </c>
      <c r="E59" s="14" t="s">
        <v>248</v>
      </c>
      <c r="F59" s="14" t="s">
        <v>249</v>
      </c>
      <c r="G59" s="14" t="s">
        <v>250</v>
      </c>
      <c r="H59" s="14" t="s">
        <v>236</v>
      </c>
      <c r="I59" s="15" t="s">
        <v>236</v>
      </c>
      <c r="J59" s="13" t="s">
        <v>237</v>
      </c>
      <c r="K59" s="12" t="s">
        <v>238</v>
      </c>
    </row>
    <row r="60" spans="1:11" ht="24" x14ac:dyDescent="0.25">
      <c r="A60" s="9">
        <v>5</v>
      </c>
      <c r="B60" s="10" t="s">
        <v>251</v>
      </c>
      <c r="C60" s="10" t="s">
        <v>87</v>
      </c>
      <c r="D60" s="9">
        <v>4</v>
      </c>
      <c r="E60" s="10" t="s">
        <v>252</v>
      </c>
      <c r="F60" s="10" t="s">
        <v>253</v>
      </c>
      <c r="G60" s="10" t="s">
        <v>163</v>
      </c>
      <c r="H60" s="10" t="s">
        <v>236</v>
      </c>
      <c r="I60" s="11" t="s">
        <v>236</v>
      </c>
      <c r="J60" s="9" t="s">
        <v>237</v>
      </c>
      <c r="K60" s="12" t="s">
        <v>238</v>
      </c>
    </row>
    <row r="61" spans="1:11" ht="24" x14ac:dyDescent="0.25">
      <c r="A61" s="13">
        <v>6</v>
      </c>
      <c r="B61" s="14" t="s">
        <v>254</v>
      </c>
      <c r="C61" s="14" t="s">
        <v>87</v>
      </c>
      <c r="D61" s="13">
        <v>2</v>
      </c>
      <c r="E61" s="14" t="s">
        <v>255</v>
      </c>
      <c r="F61" s="14" t="s">
        <v>256</v>
      </c>
      <c r="G61" s="14" t="s">
        <v>257</v>
      </c>
      <c r="H61" s="14" t="s">
        <v>236</v>
      </c>
      <c r="I61" s="15" t="s">
        <v>236</v>
      </c>
      <c r="J61" s="13" t="s">
        <v>237</v>
      </c>
      <c r="K61" s="12" t="s">
        <v>238</v>
      </c>
    </row>
    <row r="62" spans="1:11" ht="24" x14ac:dyDescent="0.25">
      <c r="A62" s="9">
        <v>7</v>
      </c>
      <c r="B62" s="10" t="s">
        <v>258</v>
      </c>
      <c r="C62" s="10" t="s">
        <v>173</v>
      </c>
      <c r="D62" s="9">
        <v>4</v>
      </c>
      <c r="E62" s="10" t="s">
        <v>258</v>
      </c>
      <c r="F62" s="10" t="s">
        <v>259</v>
      </c>
      <c r="G62" s="10" t="s">
        <v>260</v>
      </c>
      <c r="H62" s="10" t="s">
        <v>236</v>
      </c>
      <c r="I62" s="11" t="s">
        <v>236</v>
      </c>
      <c r="J62" s="9" t="s">
        <v>237</v>
      </c>
      <c r="K62" s="12" t="s">
        <v>238</v>
      </c>
    </row>
    <row r="63" spans="1:11" ht="24" x14ac:dyDescent="0.25">
      <c r="A63" s="13">
        <v>8</v>
      </c>
      <c r="B63" s="14" t="s">
        <v>261</v>
      </c>
      <c r="C63" s="14" t="s">
        <v>87</v>
      </c>
      <c r="D63" s="13">
        <v>1</v>
      </c>
      <c r="E63" s="14" t="s">
        <v>261</v>
      </c>
      <c r="F63" s="14" t="s">
        <v>262</v>
      </c>
      <c r="G63" s="14" t="s">
        <v>263</v>
      </c>
      <c r="H63" s="14" t="s">
        <v>236</v>
      </c>
      <c r="I63" s="15" t="s">
        <v>236</v>
      </c>
      <c r="J63" s="13" t="s">
        <v>237</v>
      </c>
      <c r="K63" s="12" t="s">
        <v>238</v>
      </c>
    </row>
    <row r="64" spans="1:11" ht="24" x14ac:dyDescent="0.25">
      <c r="A64" s="9">
        <v>9</v>
      </c>
      <c r="B64" s="10" t="s">
        <v>264</v>
      </c>
      <c r="C64" s="10" t="s">
        <v>58</v>
      </c>
      <c r="D64" s="9">
        <v>1</v>
      </c>
      <c r="E64" s="10" t="s">
        <v>264</v>
      </c>
      <c r="F64" s="10" t="s">
        <v>265</v>
      </c>
      <c r="G64" s="10" t="s">
        <v>266</v>
      </c>
      <c r="H64" s="10" t="s">
        <v>236</v>
      </c>
      <c r="I64" s="11" t="s">
        <v>236</v>
      </c>
      <c r="J64" s="9" t="s">
        <v>237</v>
      </c>
      <c r="K64" s="12" t="s">
        <v>238</v>
      </c>
    </row>
    <row r="65" spans="1:11" ht="24" x14ac:dyDescent="0.25">
      <c r="A65" s="13">
        <v>10</v>
      </c>
      <c r="B65" s="14" t="s">
        <v>267</v>
      </c>
      <c r="C65" s="14" t="s">
        <v>204</v>
      </c>
      <c r="D65" s="13">
        <v>2</v>
      </c>
      <c r="E65" s="14" t="s">
        <v>268</v>
      </c>
      <c r="F65" s="14" t="s">
        <v>269</v>
      </c>
      <c r="G65" s="14" t="s">
        <v>270</v>
      </c>
      <c r="H65" s="14" t="s">
        <v>236</v>
      </c>
      <c r="I65" s="15" t="s">
        <v>236</v>
      </c>
      <c r="J65" s="13" t="s">
        <v>237</v>
      </c>
      <c r="K65" s="12" t="s">
        <v>238</v>
      </c>
    </row>
    <row r="66" spans="1:11" x14ac:dyDescent="0.25">
      <c r="A66" s="39" t="s">
        <v>271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</row>
    <row r="67" spans="1:11" ht="36" x14ac:dyDescent="0.25">
      <c r="A67" s="16" t="s">
        <v>237</v>
      </c>
      <c r="B67" s="17" t="s">
        <v>272</v>
      </c>
      <c r="C67" s="17" t="s">
        <v>273</v>
      </c>
      <c r="D67" s="16">
        <v>1</v>
      </c>
      <c r="E67" s="17" t="s">
        <v>237</v>
      </c>
      <c r="F67" s="17" t="s">
        <v>237</v>
      </c>
      <c r="G67" s="17" t="s">
        <v>274</v>
      </c>
      <c r="H67" s="17" t="s">
        <v>275</v>
      </c>
      <c r="I67" s="18">
        <v>280</v>
      </c>
      <c r="J67" s="18">
        <v>280</v>
      </c>
      <c r="K67" s="19" t="s">
        <v>276</v>
      </c>
    </row>
    <row r="68" spans="1:11" ht="24" x14ac:dyDescent="0.25">
      <c r="A68" s="16" t="s">
        <v>237</v>
      </c>
      <c r="B68" s="17" t="s">
        <v>277</v>
      </c>
      <c r="C68" s="17" t="s">
        <v>278</v>
      </c>
      <c r="D68" s="16">
        <v>1</v>
      </c>
      <c r="E68" s="17" t="s">
        <v>237</v>
      </c>
      <c r="F68" s="17" t="s">
        <v>237</v>
      </c>
      <c r="G68" s="17" t="s">
        <v>279</v>
      </c>
      <c r="H68" s="17" t="s">
        <v>275</v>
      </c>
      <c r="I68" s="18">
        <v>45</v>
      </c>
      <c r="J68" s="18">
        <v>45</v>
      </c>
      <c r="K68" s="19" t="s">
        <v>276</v>
      </c>
    </row>
    <row r="70" spans="1:11" x14ac:dyDescent="0.25">
      <c r="A70" s="30" t="s">
        <v>280</v>
      </c>
      <c r="B70" s="31"/>
      <c r="C70" s="31"/>
      <c r="D70" s="31"/>
      <c r="E70" s="31"/>
      <c r="F70" s="31"/>
      <c r="G70" s="31"/>
      <c r="H70" s="31"/>
      <c r="I70" s="20">
        <v>114.00190000000001</v>
      </c>
      <c r="J70" s="20">
        <v>114.00190000000001</v>
      </c>
      <c r="K70" s="21"/>
    </row>
    <row r="71" spans="1:11" ht="15.75" x14ac:dyDescent="0.25">
      <c r="A71" s="36" t="s">
        <v>281</v>
      </c>
      <c r="B71" s="31"/>
      <c r="C71" s="31"/>
      <c r="D71" s="31"/>
      <c r="E71" s="31"/>
      <c r="F71" s="31"/>
      <c r="G71" s="31"/>
      <c r="H71" s="31"/>
      <c r="I71" s="22">
        <v>439</v>
      </c>
      <c r="J71" s="22">
        <v>439</v>
      </c>
      <c r="K71" s="23"/>
    </row>
    <row r="73" spans="1:11" ht="60" customHeight="1" x14ac:dyDescent="0.25">
      <c r="A73" s="40" t="s">
        <v>282</v>
      </c>
      <c r="B73" s="31"/>
      <c r="C73" s="31"/>
      <c r="D73" s="31"/>
      <c r="E73" s="31"/>
      <c r="F73" s="31"/>
      <c r="G73" s="31"/>
      <c r="H73" s="31"/>
      <c r="I73" s="31"/>
      <c r="J73" s="31"/>
      <c r="K73" s="31"/>
    </row>
    <row r="74" spans="1:11" x14ac:dyDescent="0.25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</row>
    <row r="75" spans="1:11" x14ac:dyDescent="0.2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</row>
    <row r="76" spans="1:11" x14ac:dyDescent="0.25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</row>
  </sheetData>
  <mergeCells count="11">
    <mergeCell ref="A1:K1"/>
    <mergeCell ref="A71:H71"/>
    <mergeCell ref="A2:K2"/>
    <mergeCell ref="F4:K4"/>
    <mergeCell ref="A66:K66"/>
    <mergeCell ref="A73:K76"/>
    <mergeCell ref="A70:H70"/>
    <mergeCell ref="A6:K6"/>
    <mergeCell ref="A4:E4"/>
    <mergeCell ref="A3:K3"/>
    <mergeCell ref="A55:K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>
      <selection sqref="A1:H1"/>
    </sheetView>
  </sheetViews>
  <sheetFormatPr baseColWidth="10" defaultColWidth="9.140625" defaultRowHeight="15" x14ac:dyDescent="0.25"/>
  <cols>
    <col min="1" max="1" width="15" customWidth="1"/>
    <col min="2" max="2" width="24" customWidth="1"/>
    <col min="3" max="5" width="22" customWidth="1"/>
    <col min="6" max="6" width="20" customWidth="1"/>
    <col min="7" max="7" width="22" customWidth="1"/>
    <col min="8" max="8" width="20" customWidth="1"/>
  </cols>
  <sheetData>
    <row r="1" spans="1:8" x14ac:dyDescent="0.25">
      <c r="A1" s="46" t="s">
        <v>283</v>
      </c>
      <c r="B1" s="31"/>
      <c r="C1" s="31"/>
      <c r="D1" s="31"/>
      <c r="E1" s="31"/>
      <c r="F1" s="31"/>
      <c r="G1" s="31"/>
      <c r="H1" s="31"/>
    </row>
    <row r="2" spans="1:8" x14ac:dyDescent="0.25">
      <c r="A2" s="44" t="s">
        <v>284</v>
      </c>
      <c r="B2" s="31"/>
      <c r="C2" s="31"/>
      <c r="D2" s="31"/>
      <c r="E2" s="31"/>
      <c r="F2" s="31"/>
      <c r="G2" s="31"/>
      <c r="H2" s="31"/>
    </row>
    <row r="3" spans="1:8" x14ac:dyDescent="0.25">
      <c r="A3" s="1" t="s">
        <v>285</v>
      </c>
      <c r="B3" s="1" t="s">
        <v>286</v>
      </c>
      <c r="C3" s="1" t="s">
        <v>287</v>
      </c>
      <c r="D3" s="1" t="s">
        <v>288</v>
      </c>
      <c r="E3" s="1" t="s">
        <v>289</v>
      </c>
      <c r="F3" s="1" t="s">
        <v>290</v>
      </c>
      <c r="G3" s="1" t="s">
        <v>291</v>
      </c>
      <c r="H3" s="1" t="s">
        <v>292</v>
      </c>
    </row>
    <row r="4" spans="1:8" x14ac:dyDescent="0.25">
      <c r="A4" s="2">
        <v>1</v>
      </c>
      <c r="B4" s="24">
        <v>0</v>
      </c>
      <c r="C4" s="4">
        <v>114.00190000000001</v>
      </c>
      <c r="D4" s="4">
        <v>280</v>
      </c>
      <c r="E4" s="4">
        <v>45</v>
      </c>
      <c r="F4" s="4">
        <v>439.00189999999998</v>
      </c>
      <c r="G4" s="4">
        <v>439.00189999999998</v>
      </c>
      <c r="H4" s="25">
        <v>0</v>
      </c>
    </row>
    <row r="5" spans="1:8" x14ac:dyDescent="0.25">
      <c r="A5" s="6">
        <v>10</v>
      </c>
      <c r="B5" s="26">
        <v>0.05</v>
      </c>
      <c r="C5" s="8">
        <v>108.301805</v>
      </c>
      <c r="D5" s="8">
        <v>85.621899999999997</v>
      </c>
      <c r="E5" s="8">
        <v>10.757816999999999</v>
      </c>
      <c r="F5" s="8">
        <v>204.681522</v>
      </c>
      <c r="G5" s="8">
        <v>2046.81522</v>
      </c>
      <c r="H5" s="27">
        <v>0.5337570930786405</v>
      </c>
    </row>
    <row r="6" spans="1:8" x14ac:dyDescent="0.25">
      <c r="A6" s="2">
        <v>100</v>
      </c>
      <c r="B6" s="24">
        <v>0.15</v>
      </c>
      <c r="C6" s="4">
        <v>96.901615000000007</v>
      </c>
      <c r="D6" s="4">
        <v>26.182535000000001</v>
      </c>
      <c r="E6" s="4">
        <v>2.5717919999999999</v>
      </c>
      <c r="F6" s="4">
        <v>125.655942</v>
      </c>
      <c r="G6" s="4">
        <v>12565.5942</v>
      </c>
      <c r="H6" s="25">
        <v>0.71376902468987025</v>
      </c>
    </row>
    <row r="7" spans="1:8" x14ac:dyDescent="0.25">
      <c r="A7" s="6">
        <v>1000</v>
      </c>
      <c r="B7" s="26">
        <v>0.28000000000000003</v>
      </c>
      <c r="C7" s="8">
        <v>82.081367999999998</v>
      </c>
      <c r="D7" s="8">
        <v>8.0064229999999998</v>
      </c>
      <c r="E7" s="8">
        <v>0.614819</v>
      </c>
      <c r="F7" s="8">
        <v>90.702609999999993</v>
      </c>
      <c r="G7" s="8">
        <v>90702.609999999986</v>
      </c>
      <c r="H7" s="27">
        <v>0.79338902633451014</v>
      </c>
    </row>
    <row r="8" spans="1:8" x14ac:dyDescent="0.25">
      <c r="A8" s="2">
        <v>5000</v>
      </c>
      <c r="B8" s="24">
        <v>0.38</v>
      </c>
      <c r="C8" s="4">
        <v>70.681178000000003</v>
      </c>
      <c r="D8" s="4">
        <v>3.4975770000000002</v>
      </c>
      <c r="E8" s="4">
        <v>0.22612299999999999</v>
      </c>
      <c r="F8" s="4">
        <v>74.404878000000011</v>
      </c>
      <c r="G8" s="4">
        <v>372024.39000000007</v>
      </c>
      <c r="H8" s="25">
        <v>0.83051353991861987</v>
      </c>
    </row>
    <row r="10" spans="1:8" x14ac:dyDescent="0.25">
      <c r="A10" s="45" t="s">
        <v>293</v>
      </c>
      <c r="B10" s="31"/>
      <c r="C10" s="31"/>
      <c r="D10" s="31"/>
      <c r="E10" s="31"/>
      <c r="F10" s="31"/>
      <c r="G10" s="31"/>
      <c r="H10" s="31"/>
    </row>
    <row r="11" spans="1:8" x14ac:dyDescent="0.25">
      <c r="A11" s="43" t="s">
        <v>294</v>
      </c>
      <c r="B11" s="31"/>
      <c r="C11" s="31"/>
      <c r="D11" s="31"/>
      <c r="E11" s="31"/>
      <c r="F11" s="31"/>
      <c r="G11" s="31"/>
      <c r="H11" s="31"/>
    </row>
    <row r="12" spans="1:8" ht="42" customHeight="1" x14ac:dyDescent="0.25">
      <c r="A12" s="42" t="s">
        <v>295</v>
      </c>
      <c r="B12" s="31"/>
      <c r="C12" s="31"/>
      <c r="D12" s="31"/>
      <c r="E12" s="31"/>
      <c r="F12" s="31"/>
      <c r="G12" s="31"/>
      <c r="H12" s="31"/>
    </row>
    <row r="13" spans="1:8" x14ac:dyDescent="0.25">
      <c r="A13" s="43" t="s">
        <v>296</v>
      </c>
      <c r="B13" s="31"/>
      <c r="C13" s="31"/>
      <c r="D13" s="31"/>
      <c r="E13" s="31"/>
      <c r="F13" s="31"/>
      <c r="G13" s="31"/>
      <c r="H13" s="31"/>
    </row>
    <row r="14" spans="1:8" ht="42" customHeight="1" x14ac:dyDescent="0.25">
      <c r="A14" s="42" t="s">
        <v>297</v>
      </c>
      <c r="B14" s="31"/>
      <c r="C14" s="31"/>
      <c r="D14" s="31"/>
      <c r="E14" s="31"/>
      <c r="F14" s="31"/>
      <c r="G14" s="31"/>
      <c r="H14" s="31"/>
    </row>
    <row r="15" spans="1:8" x14ac:dyDescent="0.25">
      <c r="A15" s="43" t="s">
        <v>298</v>
      </c>
      <c r="B15" s="31"/>
      <c r="C15" s="31"/>
      <c r="D15" s="31"/>
      <c r="E15" s="31"/>
      <c r="F15" s="31"/>
      <c r="G15" s="31"/>
      <c r="H15" s="31"/>
    </row>
    <row r="16" spans="1:8" ht="42" customHeight="1" x14ac:dyDescent="0.25">
      <c r="A16" s="42" t="s">
        <v>299</v>
      </c>
      <c r="B16" s="31"/>
      <c r="C16" s="31"/>
      <c r="D16" s="31"/>
      <c r="E16" s="31"/>
      <c r="F16" s="31"/>
      <c r="G16" s="31"/>
      <c r="H16" s="31"/>
    </row>
    <row r="17" spans="1:8" x14ac:dyDescent="0.25">
      <c r="A17" s="43" t="s">
        <v>300</v>
      </c>
      <c r="B17" s="31"/>
      <c r="C17" s="31"/>
      <c r="D17" s="31"/>
      <c r="E17" s="31"/>
      <c r="F17" s="31"/>
      <c r="G17" s="31"/>
      <c r="H17" s="31"/>
    </row>
    <row r="18" spans="1:8" ht="42" customHeight="1" x14ac:dyDescent="0.25">
      <c r="A18" s="42" t="s">
        <v>301</v>
      </c>
      <c r="B18" s="31"/>
      <c r="C18" s="31"/>
      <c r="D18" s="31"/>
      <c r="E18" s="31"/>
      <c r="F18" s="31"/>
      <c r="G18" s="31"/>
      <c r="H18" s="31"/>
    </row>
  </sheetData>
  <mergeCells count="11">
    <mergeCell ref="A1:H1"/>
    <mergeCell ref="A17:H17"/>
    <mergeCell ref="A12:H12"/>
    <mergeCell ref="A18:H18"/>
    <mergeCell ref="A15:H15"/>
    <mergeCell ref="A2:H2"/>
    <mergeCell ref="A16:H16"/>
    <mergeCell ref="A10:H10"/>
    <mergeCell ref="A13:H13"/>
    <mergeCell ref="A11:H11"/>
    <mergeCell ref="A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tabSelected="1" topLeftCell="A2" workbookViewId="0">
      <selection activeCell="B13" sqref="B13"/>
    </sheetView>
  </sheetViews>
  <sheetFormatPr baseColWidth="10" defaultColWidth="9.140625" defaultRowHeight="15" x14ac:dyDescent="0.25"/>
  <cols>
    <col min="1" max="1" width="15" customWidth="1"/>
    <col min="2" max="5" width="22" customWidth="1"/>
  </cols>
  <sheetData>
    <row r="1" spans="1:5" ht="20.100000000000001" customHeight="1" x14ac:dyDescent="0.25">
      <c r="A1" s="46" t="s">
        <v>302</v>
      </c>
      <c r="B1" s="31"/>
      <c r="C1" s="31"/>
      <c r="D1" s="31"/>
      <c r="E1" s="31"/>
    </row>
    <row r="2" spans="1:5" x14ac:dyDescent="0.25">
      <c r="A2" s="1" t="s">
        <v>285</v>
      </c>
      <c r="B2" s="1" t="s">
        <v>303</v>
      </c>
      <c r="C2" s="1" t="s">
        <v>304</v>
      </c>
      <c r="D2" s="1" t="s">
        <v>305</v>
      </c>
      <c r="E2" s="1" t="s">
        <v>306</v>
      </c>
    </row>
    <row r="3" spans="1:5" x14ac:dyDescent="0.25">
      <c r="A3" s="6">
        <v>1</v>
      </c>
      <c r="B3" s="28">
        <v>114.00190000000001</v>
      </c>
      <c r="C3" s="28">
        <v>280</v>
      </c>
      <c r="D3" s="28">
        <v>45</v>
      </c>
      <c r="E3" s="28">
        <v>439.00189999999998</v>
      </c>
    </row>
    <row r="4" spans="1:5" x14ac:dyDescent="0.25">
      <c r="A4" s="2">
        <v>10</v>
      </c>
      <c r="B4" s="29">
        <v>108.301805</v>
      </c>
      <c r="C4" s="29">
        <v>85.621899999999997</v>
      </c>
      <c r="D4" s="29">
        <v>10.757816999999999</v>
      </c>
      <c r="E4" s="29">
        <v>204.681522</v>
      </c>
    </row>
    <row r="5" spans="1:5" x14ac:dyDescent="0.25">
      <c r="A5" s="6">
        <v>100</v>
      </c>
      <c r="B5" s="28">
        <v>96.901615000000007</v>
      </c>
      <c r="C5" s="28">
        <v>26.182535000000001</v>
      </c>
      <c r="D5" s="28">
        <v>2.5717919999999999</v>
      </c>
      <c r="E5" s="28">
        <v>125.655942</v>
      </c>
    </row>
    <row r="6" spans="1:5" x14ac:dyDescent="0.25">
      <c r="A6" s="2">
        <v>1000</v>
      </c>
      <c r="B6" s="29">
        <v>82.081367999999998</v>
      </c>
      <c r="C6" s="29">
        <v>8.0064229999999998</v>
      </c>
      <c r="D6" s="29">
        <v>0.614819</v>
      </c>
      <c r="E6" s="29">
        <v>90.702609999999993</v>
      </c>
    </row>
    <row r="7" spans="1:5" x14ac:dyDescent="0.25">
      <c r="A7" s="6">
        <v>5000</v>
      </c>
      <c r="B7" s="28">
        <v>70.681178000000003</v>
      </c>
      <c r="C7" s="28">
        <v>3.4975770000000002</v>
      </c>
      <c r="D7" s="28">
        <v>0.22612299999999999</v>
      </c>
      <c r="E7" s="28">
        <v>74.404878000000011</v>
      </c>
    </row>
  </sheetData>
  <mergeCells count="1">
    <mergeCell ref="A1:E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BOM Summary</vt:lpstr>
      <vt:lpstr>Scale Economics</vt:lpstr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SANTIAGO JOSE VARGAS HIGUERA</cp:lastModifiedBy>
  <dcterms:created xsi:type="dcterms:W3CDTF">2026-06-10T16:57:47Z</dcterms:created>
  <dcterms:modified xsi:type="dcterms:W3CDTF">2026-06-10T17:15:38Z</dcterms:modified>
</cp:coreProperties>
</file>